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eand\OneDrive\Excel DIO\"/>
    </mc:Choice>
  </mc:AlternateContent>
  <xr:revisionPtr revIDLastSave="4" documentId="8_{4727EDDE-F964-4F4B-915B-2957095D2ACB}" xr6:coauthVersionLast="36" xr6:coauthVersionMax="47" xr10:uidLastSave="{B41216B9-9EC6-4815-B747-FF439AE2C824}"/>
  <bookViews>
    <workbookView xWindow="-120" yWindow="-120" windowWidth="20736" windowHeight="11040" activeTab="2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Plan">#N/A</definedName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" i="3" l="1"/>
  <c r="E30" i="3"/>
</calcChain>
</file>

<file path=xl/sharedStrings.xml><?xml version="1.0" encoding="utf-8"?>
<sst xmlns="http://schemas.openxmlformats.org/spreadsheetml/2006/main" count="2046" uniqueCount="337">
  <si>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</si>
  <si>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</si>
  <si>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</si>
  <si>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</si>
  <si>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</si>
  <si>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</si>
  <si>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</si>
  <si>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</si>
  <si>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</si>
  <si>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</si>
  <si>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</si>
  <si>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</si>
  <si>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</si>
  <si>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</si>
  <si>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</si>
  <si>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</si>
  <si>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</si>
  <si>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</si>
  <si>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</si>
  <si>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</si>
  <si>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</si>
  <si>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</si>
  <si>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</si>
  <si>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</si>
  <si>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</si>
  <si>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</si>
  <si>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</si>
  <si>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</si>
  <si>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</si>
  <si>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</si>
  <si>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</si>
  <si>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</si>
  <si>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</si>
  <si>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</si>
  <si>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</si>
  <si>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</si>
  <si>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</si>
  <si>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</si>
  <si>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</si>
  <si>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</si>
  <si>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</si>
  <si>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</si>
  <si>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</si>
  <si>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</si>
  <si>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</si>
  <si>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</si>
  <si>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</si>
  <si>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</si>
  <si>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</si>
  <si>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</si>
  <si>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</si>
  <si>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</si>
  <si>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</si>
  <si>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</si>
  <si>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</si>
  <si>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</si>
  <si>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</si>
  <si>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</si>
  <si>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</si>
  <si>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</si>
  <si>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</si>
  <si>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</si>
  <si>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</si>
  <si>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</si>
  <si>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</si>
  <si>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</si>
  <si>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</si>
  <si>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</si>
  <si>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</si>
  <si>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</si>
  <si>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</si>
  <si>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</si>
  <si>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</si>
  <si>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</si>
  <si>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</si>
  <si>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</si>
  <si>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</si>
  <si>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</si>
  <si>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</si>
  <si>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</si>
  <si>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</si>
  <si>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</si>
  <si>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</si>
  <si>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</si>
  <si>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</si>
  <si>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</si>
  <si>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</si>
  <si>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</si>
  <si>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</si>
  <si>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</si>
  <si>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</si>
  <si>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</si>
  <si>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</si>
  <si>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</si>
  <si>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</si>
  <si>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</si>
  <si>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</si>
  <si>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</si>
  <si>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</si>
  <si>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</si>
  <si>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</si>
  <si>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</si>
  <si>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</si>
  <si>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</si>
  <si>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</si>
  <si>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</si>
  <si>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</si>
  <si>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</si>
  <si>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</si>
  <si>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</si>
  <si>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</si>
  <si>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</si>
  <si>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</si>
  <si>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</si>
  <si>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</si>
  <si>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</si>
  <si>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</si>
  <si>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</si>
  <si>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</si>
  <si>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</si>
  <si>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</si>
  <si>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</si>
  <si>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</si>
  <si>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</si>
  <si>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</si>
  <si>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</si>
  <si>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</si>
  <si>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</si>
  <si>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</si>
  <si>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</si>
  <si>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</si>
  <si>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</si>
  <si>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</si>
  <si>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</si>
  <si>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</si>
  <si>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</si>
  <si>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</si>
  <si>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</si>
  <si>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</si>
  <si>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</si>
  <si>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</si>
  <si>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</si>
  <si>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</si>
  <si>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</si>
  <si>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</si>
  <si>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</si>
  <si>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</si>
  <si>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</si>
  <si>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</si>
  <si>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</si>
  <si>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</si>
  <si>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</si>
  <si>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</si>
  <si>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</si>
  <si>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</si>
  <si>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</si>
  <si>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</si>
  <si>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</si>
  <si>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</si>
  <si>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</si>
  <si>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</si>
  <si>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</si>
  <si>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</si>
  <si>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</si>
  <si>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</si>
  <si>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</si>
  <si>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</si>
  <si>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</si>
  <si>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</si>
  <si>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</si>
  <si>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</si>
  <si>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</si>
  <si>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</si>
  <si>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</si>
  <si>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</si>
  <si>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</si>
  <si>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</si>
  <si>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</si>
  <si>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</si>
  <si>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</si>
  <si>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</si>
  <si>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</si>
  <si>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</si>
  <si>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</si>
  <si>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</si>
  <si>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</si>
  <si>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</si>
  <si>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</si>
  <si>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</si>
  <si>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</si>
  <si>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</si>
  <si>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</si>
  <si>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</si>
  <si>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</si>
  <si>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</si>
  <si>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</si>
  <si>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</si>
  <si>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</si>
  <si>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</si>
  <si>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</si>
  <si>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</si>
  <si>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</si>
  <si>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</si>
  <si>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</si>
  <si>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</si>
  <si>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</si>
  <si>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</si>
  <si>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</si>
  <si>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</si>
  <si>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</si>
  <si>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</si>
  <si>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</si>
  <si>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</si>
  <si>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</si>
  <si>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</si>
  <si>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</si>
  <si>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</si>
  <si>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</si>
  <si>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</si>
  <si>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</si>
  <si>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</si>
  <si>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</si>
  <si>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</si>
  <si>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</si>
  <si>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</si>
  <si>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</si>
  <si>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</si>
  <si>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</si>
  <si>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</si>
  <si>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</si>
  <si>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</si>
  <si>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</si>
  <si>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</si>
  <si>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</si>
  <si>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</si>
  <si>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</si>
  <si>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</si>
  <si>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</si>
  <si>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</si>
  <si>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</si>
  <si>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</si>
  <si>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</si>
  <si>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</si>
  <si>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</si>
  <si>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</si>
  <si>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</si>
  <si>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</si>
  <si>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</si>
  <si>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</si>
  <si>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</si>
  <si>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</si>
  <si>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</si>
  <si>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</si>
  <si>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</si>
  <si>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</si>
  <si>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</si>
  <si>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</si>
  <si>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</si>
  <si>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</si>
  <si>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</si>
  <si>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</si>
  <si>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</si>
  <si>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</si>
  <si>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</si>
  <si>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</si>
  <si>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</si>
  <si>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</si>
  <si>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</si>
  <si>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</si>
  <si>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</si>
  <si>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</si>
  <si>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</si>
  <si>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</si>
  <si>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</si>
  <si>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</si>
  <si>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</si>
  <si>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</si>
  <si>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</si>
  <si>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</si>
  <si>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</si>
  <si>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</si>
  <si>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</si>
  <si>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</si>
  <si>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</si>
  <si>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</si>
  <si>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</si>
  <si>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</si>
  <si>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</si>
  <si>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</si>
  <si>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</si>
  <si>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</si>
  <si>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</si>
  <si>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</si>
  <si>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</si>
  <si>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</si>
  <si>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</si>
  <si>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</si>
  <si>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</si>
  <si>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</si>
  <si>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</si>
  <si>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</si>
  <si>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</si>
  <si>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</si>
  <si>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</si>
  <si>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</si>
  <si>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</si>
  <si>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</si>
  <si>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</si>
  <si>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</si>
  <si>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</si>
  <si>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</si>
  <si>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</si>
  <si>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</si>
  <si>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</si>
  <si>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</si>
  <si>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</si>
  <si>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t>Pergunta de Negocio 1 : Qual Faturamento T</t>
    </r>
    <r>
      <rPr>
        <b/>
        <sz val="11"/>
        <color theme="1"/>
        <rFont val="Aptos Narrow"/>
        <scheme val="minor"/>
      </rPr>
      <t>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</si>
  <si>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Negocio 2 : Qual Faturamento T</t>
    </r>
    <r>
      <rPr>
        <b/>
        <sz val="11"/>
        <color theme="1"/>
        <rFont val="Aptos Narrow"/>
        <scheme val="minor"/>
      </rPr>
      <t>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separado por auto renovacao ou não auto renouvacao</t>
    </r>
  </si>
  <si>
    <t>Pergunta de Negocio</t>
  </si>
  <si>
    <t>XBOX GAME PASS SUSCRIPTIONS SALES</t>
  </si>
  <si>
    <t>Pergunta de Negocio 3 : Total de Vendas de Assinatura da EA Play</t>
  </si>
  <si>
    <t>Soma de EA Play Season Pass</t>
  </si>
  <si>
    <t>Pergunta de Negocio 4 : Total de Vendas de Assinaturas do Minescraft Season Pass</t>
  </si>
  <si>
    <t>Soma de Minecraft Season Pass Price</t>
  </si>
  <si>
    <t>Pergunta de Negocio 5 : Qual o faturamento total por tipo de plano (Core, Standard e Ultimate)?</t>
  </si>
  <si>
    <t>Pergunta de Negocio 6 : Qual a evolução mensal do faturamento total ao longo de 2024?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</si>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</sst>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5"/>
      <color rgb="FF22C55E"/>
      <name val="Segoe UI"/>
      <family val="2"/>
    </font>
    <font>
      <b/>
      <sz val="18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4" fontId="0" fillId="0" borderId="0" xfId="0" applyNumberFormat="1"/>
    <xf numFmtId="0" fontId="5" fillId="0" borderId="2" xfId="1" applyFont="1" applyBorder="1"/>
    <xf numFmtId="0" fontId="6" fillId="0" borderId="2" xfId="1" applyFont="1" applyBorder="1" applyAlignment="1">
      <alignment horizontal="left" indent="7"/>
    </xf>
  </cellXfs>
  <cellStyles count="3">
    <cellStyle name="Moeda" xfId="2" builtinId="4"/>
    <cellStyle name="Normal" xfId="0" builtinId="0"/>
    <cellStyle name="Título 1" xfId="1" builtinId="16"/>
  </cellStyles>
  <dxfs count="26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1"/>
      </font>
      <fill>
        <patternFill>
          <bgColor rgb="FF25C25E"/>
        </patternFill>
      </fill>
      <border>
        <bottom style="thin">
          <color theme="9"/>
        </bottom>
        <vertical/>
        <horizontal/>
      </border>
    </dxf>
    <dxf>
      <font>
        <sz val="12"/>
        <color theme="1"/>
        <name val="Segoe UI"/>
        <family val="2"/>
        <scheme val="none"/>
      </font>
      <fill>
        <gradientFill degree="90">
          <stop position="0">
            <color rgb="FF25C25E"/>
          </stop>
          <stop position="1">
            <color rgb="FF25C25E"/>
          </stop>
        </gradient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fill>
        <patternFill>
          <bgColor theme="9"/>
        </patternFill>
      </fill>
      <border>
        <bottom style="thin">
          <color theme="9"/>
        </bottom>
        <vertical/>
        <horizontal/>
      </border>
    </dxf>
    <dxf>
      <font>
        <sz val="12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1"/>
      </font>
      <fill>
        <patternFill>
          <bgColor rgb="FF25C25E"/>
        </patternFill>
      </fill>
      <border>
        <bottom style="thin">
          <color theme="9"/>
        </bottom>
        <vertical/>
        <horizontal/>
      </border>
    </dxf>
    <dxf>
      <font>
        <sz val="14"/>
        <color theme="1"/>
        <name val="Segoe UI"/>
        <family val="2"/>
        <scheme val="none"/>
      </font>
      <fill>
        <patternFill patternType="solid">
          <fgColor rgb="FF25C25E"/>
          <bgColor rgb="FF25C25E"/>
        </patternFill>
      </fill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SlicerStyleLight6 2" pivot="0" table="0" count="10" xr9:uid="{5DAF0E6F-1E7C-4340-AAD0-FB893207C6F8}">
      <tableStyleElement type="wholeTable" dxfId="25"/>
      <tableStyleElement type="headerRow" dxfId="24"/>
    </tableStyle>
    <tableStyle name="SlicerStyleLight6 2 2" pivot="0" table="0" count="10" xr9:uid="{61857969-6AB2-4977-9286-7C5CEAF4D6D7}">
      <tableStyleElement type="wholeTable" dxfId="23"/>
      <tableStyleElement type="headerRow" dxfId="22"/>
    </tableStyle>
    <tableStyle name="SlicerStyleLight6 2 3" pivot="0" table="0" count="10" xr9:uid="{52D73827-3517-44B6-A2C2-DBFCEF95C01D}">
      <tableStyleElement type="wholeTable" dxfId="21"/>
      <tableStyleElement type="headerRow" dxfId="20"/>
    </tableStyle>
  </tableStyles>
  <colors>
    <mruColors>
      <color rgb="FF25C25E"/>
      <color rgb="FFFFFFFF"/>
      <color rgb="FF2AE6B1"/>
      <color rgb="FF22C55E"/>
      <color rgb="FFE8E6E9"/>
      <color rgb="FF5BF6A8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Light6 2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2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[Dashboard_Vendas_Xbox_Game_Pass.xlsx]C̳álculos!tbl_total_vendas</c:name>
    <c:fmtId val="2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25C2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25C2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5C2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25C2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02-4C71-B6DB-C24A43877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6884799"/>
        <c:axId val="1871761759"/>
      </c:barChart>
      <c:catAx>
        <c:axId val="1866884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1761759"/>
        <c:crosses val="autoZero"/>
        <c:auto val="1"/>
        <c:lblAlgn val="ctr"/>
        <c:lblOffset val="100"/>
        <c:noMultiLvlLbl val="0"/>
      </c:catAx>
      <c:valAx>
        <c:axId val="187176175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8668847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[Dashboard_Vendas_Xbox_Game_Pass.xlsx]C̳álculos!tbl_fat_total_plano</c:name>
    <c:fmtId val="1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rgbClr val="25C25E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5C25E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C̳álculos!$B$36:$B$39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C̳álculos!$C$36:$C$39</c:f>
              <c:numCache>
                <c:formatCode>"R$"\ #,##0.00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E-4512-A4D6-0C5EC32CA1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20504000"/>
        <c:axId val="221980272"/>
      </c:barChart>
      <c:catAx>
        <c:axId val="2205040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21980272"/>
        <c:crosses val="autoZero"/>
        <c:auto val="1"/>
        <c:lblAlgn val="ctr"/>
        <c:lblOffset val="100"/>
        <c:noMultiLvlLbl val="0"/>
      </c:catAx>
      <c:valAx>
        <c:axId val="221980272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220504000"/>
        <c:crosses val="autoZero"/>
        <c:crossBetween val="between"/>
      </c:valAx>
      <c:dTable>
        <c:showHorzBorder val="0"/>
        <c:showVertBorder val="0"/>
        <c:showOutline val="0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ln>
                  <a:noFill/>
                </a:ln>
                <a:solidFill>
                  <a:srgbClr val="25C25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[Dashboard_Vendas_Xbox_Game_Pass.xlsx]C̳álculos!Tabela dinâmica2</c:name>
    <c:fmtId val="8"/>
  </c:pivotSource>
  <c:chart>
    <c:autoTitleDeleted val="1"/>
    <c:pivotFmts>
      <c:pivotFmt>
        <c:idx val="0"/>
      </c:pivotFmt>
      <c:pivotFmt>
        <c:idx val="1"/>
      </c:pivotFmt>
      <c:pivotFmt>
        <c:idx val="2"/>
        <c:spPr>
          <a:ln w="34925" cap="rnd">
            <a:solidFill>
              <a:srgbClr val="25C25E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x"/>
          <c:size val="6"/>
          <c:spPr>
            <a:noFill/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rgbClr val="25C2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5.4429595959595962E-2"/>
          <c:y val="9.9856044406023928E-2"/>
          <c:w val="0.90039383838383835"/>
          <c:h val="0.74667180076884054"/>
        </c:manualLayout>
      </c:layout>
      <c:lineChart>
        <c:grouping val="standard"/>
        <c:varyColors val="0"/>
        <c:ser>
          <c:idx val="0"/>
          <c:order val="0"/>
          <c:tx>
            <c:strRef>
              <c:f>C̳álculos!$C$45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rgbClr val="25C25E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x"/>
            <c:size val="6"/>
            <c:spPr>
              <a:noFill/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rgbClr val="25C2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C̳álculos!$B$46:$B$57</c:f>
              <c:strCache>
                <c:ptCount val="11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C̳álculos!$C$46:$C$57</c:f>
              <c:numCache>
                <c:formatCode>"R$"\ #,##0.00</c:formatCode>
                <c:ptCount val="11"/>
                <c:pt idx="0">
                  <c:v>20</c:v>
                </c:pt>
                <c:pt idx="1">
                  <c:v>191</c:v>
                </c:pt>
                <c:pt idx="2">
                  <c:v>193</c:v>
                </c:pt>
                <c:pt idx="3">
                  <c:v>183</c:v>
                </c:pt>
                <c:pt idx="4">
                  <c:v>196</c:v>
                </c:pt>
                <c:pt idx="5">
                  <c:v>188</c:v>
                </c:pt>
                <c:pt idx="6">
                  <c:v>188</c:v>
                </c:pt>
                <c:pt idx="7">
                  <c:v>188</c:v>
                </c:pt>
                <c:pt idx="8">
                  <c:v>178</c:v>
                </c:pt>
                <c:pt idx="9">
                  <c:v>188</c:v>
                </c:pt>
                <c:pt idx="10">
                  <c:v>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E9A-42BC-AB3E-215702918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569760"/>
        <c:axId val="221976528"/>
      </c:lineChart>
      <c:catAx>
        <c:axId val="225569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1976528"/>
        <c:crosses val="autoZero"/>
        <c:auto val="1"/>
        <c:lblAlgn val="ctr"/>
        <c:lblOffset val="100"/>
        <c:noMultiLvlLbl val="0"/>
      </c:catAx>
      <c:valAx>
        <c:axId val="22197652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out"/>
        <c:minorTickMark val="none"/>
        <c:tickLblPos val="nextTo"/>
        <c:crossAx val="22556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16542" y="5236632"/>
          <a:ext cx="1727276" cy="7016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8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8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88900</xdr:colOff>
      <xdr:row>10</xdr:row>
      <xdr:rowOff>88900</xdr:rowOff>
    </xdr:from>
    <xdr:to>
      <xdr:col>0</xdr:col>
      <xdr:colOff>2324099</xdr:colOff>
      <xdr:row>19</xdr:row>
      <xdr:rowOff>139700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B2F5223B-87E2-4E17-B39D-7950600082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900" y="2159000"/>
              <a:ext cx="2235199" cy="1651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28575</xdr:colOff>
      <xdr:row>0</xdr:row>
      <xdr:rowOff>0</xdr:rowOff>
    </xdr:from>
    <xdr:to>
      <xdr:col>3</xdr:col>
      <xdr:colOff>177801</xdr:colOff>
      <xdr:row>2</xdr:row>
      <xdr:rowOff>58528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FF4E55F-E1DD-4E46-8B2B-E9CE64FC21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0" t="18802" r="71000" b="19749"/>
        <a:stretch/>
      </xdr:blipFill>
      <xdr:spPr>
        <a:xfrm>
          <a:off x="2759075" y="0"/>
          <a:ext cx="822326" cy="731628"/>
        </a:xfrm>
        <a:prstGeom prst="rect">
          <a:avLst/>
        </a:prstGeom>
      </xdr:spPr>
    </xdr:pic>
    <xdr:clientData/>
  </xdr:twoCellAnchor>
  <xdr:twoCellAnchor editAs="absolute">
    <xdr:from>
      <xdr:col>2</xdr:col>
      <xdr:colOff>6676</xdr:colOff>
      <xdr:row>7</xdr:row>
      <xdr:rowOff>182486</xdr:rowOff>
    </xdr:from>
    <xdr:to>
      <xdr:col>9</xdr:col>
      <xdr:colOff>10292</xdr:colOff>
      <xdr:row>16</xdr:row>
      <xdr:rowOff>109336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8E600A46-2A63-4D8D-9D9C-4A4ECEBF497D}"/>
            </a:ext>
          </a:extLst>
        </xdr:cNvPr>
        <xdr:cNvGrpSpPr/>
      </xdr:nvGrpSpPr>
      <xdr:grpSpPr>
        <a:xfrm>
          <a:off x="2737176" y="1477886"/>
          <a:ext cx="4715316" cy="1768350"/>
          <a:chOff x="2276474" y="962023"/>
          <a:chExt cx="4648199" cy="1419226"/>
        </a:xfrm>
      </xdr:grpSpPr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B938E37A-2916-415B-A910-67F37ED21ADA}"/>
              </a:ext>
            </a:extLst>
          </xdr:cNvPr>
          <xdr:cNvSpPr/>
        </xdr:nvSpPr>
        <xdr:spPr>
          <a:xfrm>
            <a:off x="2276474" y="962024"/>
            <a:ext cx="4648199" cy="1124953"/>
          </a:xfrm>
          <a:prstGeom prst="round2Same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1">
        <xdr:nvSpPr>
          <xdr:cNvPr id="14" name="Retângulo 13">
            <a:extLst>
              <a:ext uri="{FF2B5EF4-FFF2-40B4-BE49-F238E27FC236}">
                <a16:creationId xmlns:a16="http://schemas.microsoft.com/office/drawing/2014/main" id="{0F8D9899-D069-4987-878C-FA31EEB1681C}"/>
              </a:ext>
            </a:extLst>
          </xdr:cNvPr>
          <xdr:cNvSpPr/>
        </xdr:nvSpPr>
        <xdr:spPr>
          <a:xfrm>
            <a:off x="4295691" y="1283440"/>
            <a:ext cx="2259125" cy="878534"/>
          </a:xfrm>
          <a:prstGeom prst="round2Same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76F17DD-85DD-4987-8A6F-C3D04F19842B}" type="TxLink">
              <a:rPr lang="en-US" sz="2400" b="1" i="0" u="none" strike="noStrike">
                <a:solidFill>
                  <a:srgbClr val="25C2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R$ 600,00</a:t>
            </a:fld>
            <a:endParaRPr lang="en-US" sz="2400" b="1">
              <a:solidFill>
                <a:srgbClr val="25C2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5" name="Imagem 14">
            <a:extLst>
              <a:ext uri="{FF2B5EF4-FFF2-40B4-BE49-F238E27FC236}">
                <a16:creationId xmlns:a16="http://schemas.microsoft.com/office/drawing/2014/main" id="{5695C31B-AE48-41F6-A449-6E8029608F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96350" y="1101304"/>
            <a:ext cx="1403899" cy="1279945"/>
          </a:xfrm>
          <a:prstGeom prst="round2SameRect">
            <a:avLst/>
          </a:prstGeom>
        </xdr:spPr>
      </xdr:pic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458836E7-EFE1-4A50-B943-5847640589AA}"/>
              </a:ext>
            </a:extLst>
          </xdr:cNvPr>
          <xdr:cNvSpPr/>
        </xdr:nvSpPr>
        <xdr:spPr>
          <a:xfrm>
            <a:off x="2296467" y="962023"/>
            <a:ext cx="4608216" cy="439267"/>
          </a:xfrm>
          <a:prstGeom prst="round2SameRect">
            <a:avLst/>
          </a:prstGeom>
          <a:solidFill>
            <a:srgbClr val="25C25E"/>
          </a:solidFill>
          <a:ln/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 EA SEASON PASS</a:t>
            </a:r>
            <a:endParaRPr lang="pt-BR" sz="1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9</xdr:col>
      <xdr:colOff>492206</xdr:colOff>
      <xdr:row>7</xdr:row>
      <xdr:rowOff>182486</xdr:rowOff>
    </xdr:from>
    <xdr:to>
      <xdr:col>16</xdr:col>
      <xdr:colOff>662837</xdr:colOff>
      <xdr:row>15</xdr:row>
      <xdr:rowOff>3236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2E0877F0-BCFF-424B-95CB-ABDF98E48075}"/>
            </a:ext>
          </a:extLst>
        </xdr:cNvPr>
        <xdr:cNvGrpSpPr/>
      </xdr:nvGrpSpPr>
      <xdr:grpSpPr>
        <a:xfrm>
          <a:off x="7934406" y="1477886"/>
          <a:ext cx="4717231" cy="1484450"/>
          <a:chOff x="7096126" y="971549"/>
          <a:chExt cx="4848224" cy="1208004"/>
        </a:xfrm>
      </xdr:grpSpPr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51CBBFFE-102E-49E1-82BB-069720B19A47}"/>
              </a:ext>
            </a:extLst>
          </xdr:cNvPr>
          <xdr:cNvSpPr/>
        </xdr:nvSpPr>
        <xdr:spPr>
          <a:xfrm>
            <a:off x="7096126" y="971549"/>
            <a:ext cx="4848224" cy="1132503"/>
          </a:xfrm>
          <a:prstGeom prst="round2Same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0">
        <xdr:nvSpPr>
          <xdr:cNvPr id="20" name="Retângulo 19">
            <a:extLst>
              <a:ext uri="{FF2B5EF4-FFF2-40B4-BE49-F238E27FC236}">
                <a16:creationId xmlns:a16="http://schemas.microsoft.com/office/drawing/2014/main" id="{4E354BC4-2535-4E8B-9776-E2798FC9A4A7}"/>
              </a:ext>
            </a:extLst>
          </xdr:cNvPr>
          <xdr:cNvSpPr/>
        </xdr:nvSpPr>
        <xdr:spPr>
          <a:xfrm>
            <a:off x="9202236" y="1295122"/>
            <a:ext cx="2356342" cy="884431"/>
          </a:xfrm>
          <a:prstGeom prst="round2Same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578BB90-6F68-4F74-BF6A-D751D40A4115}" type="TxLink">
              <a:rPr lang="en-US" sz="2400" b="1" i="0" u="none" strike="noStrike">
                <a:solidFill>
                  <a:srgbClr val="25C2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R$ 940,00</a:t>
            </a:fld>
            <a:endParaRPr lang="en-US" sz="2400" b="1">
              <a:solidFill>
                <a:srgbClr val="25C2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5C3DAC95-EADE-4A0A-932A-5BB2911BADEA}"/>
              </a:ext>
            </a:extLst>
          </xdr:cNvPr>
          <xdr:cNvSpPr/>
        </xdr:nvSpPr>
        <xdr:spPr>
          <a:xfrm>
            <a:off x="7116979" y="971549"/>
            <a:ext cx="4806520" cy="442215"/>
          </a:xfrm>
          <a:prstGeom prst="round2SameRect">
            <a:avLst/>
          </a:prstGeom>
          <a:solidFill>
            <a:srgbClr val="25C25E"/>
          </a:solidFill>
          <a:ln/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 MINESCRAFT SEASON PASS</a:t>
            </a:r>
            <a:endParaRPr lang="pt-BR" sz="1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DD625597-60BC-4FBD-8D8A-EE88C907E0C2}"/>
              </a:ext>
            </a:extLst>
          </xdr:cNvPr>
          <xdr:cNvGrpSpPr/>
        </xdr:nvGrpSpPr>
        <xdr:grpSpPr>
          <a:xfrm>
            <a:off x="7572376" y="1466849"/>
            <a:ext cx="1247774" cy="542926"/>
            <a:chOff x="3495675" y="5400674"/>
            <a:chExt cx="1549476" cy="752476"/>
          </a:xfrm>
        </xdr:grpSpPr>
        <xdr:pic>
          <xdr:nvPicPr>
            <xdr:cNvPr id="24" name="Imagem 23">
              <a:extLst>
                <a:ext uri="{FF2B5EF4-FFF2-40B4-BE49-F238E27FC236}">
                  <a16:creationId xmlns:a16="http://schemas.microsoft.com/office/drawing/2014/main" id="{0936B80D-E399-40DB-AB00-39322306A4F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ound2SameRect">
              <a:avLst/>
            </a:prstGeom>
          </xdr:spPr>
        </xdr:pic>
        <xdr:pic>
          <xdr:nvPicPr>
            <xdr:cNvPr id="25" name="Gráfico 24">
              <a:extLst>
                <a:ext uri="{FF2B5EF4-FFF2-40B4-BE49-F238E27FC236}">
                  <a16:creationId xmlns:a16="http://schemas.microsoft.com/office/drawing/2014/main" id="{9A3267CB-3184-46D9-A2E4-65C6094A838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ound2SameRect">
              <a:avLst/>
            </a:prstGeom>
          </xdr:spPr>
        </xdr:pic>
      </xdr:grpSp>
    </xdr:grpSp>
    <xdr:clientData/>
  </xdr:twoCellAnchor>
  <xdr:twoCellAnchor>
    <xdr:from>
      <xdr:col>2</xdr:col>
      <xdr:colOff>1300</xdr:colOff>
      <xdr:row>16</xdr:row>
      <xdr:rowOff>48297</xdr:rowOff>
    </xdr:from>
    <xdr:to>
      <xdr:col>9</xdr:col>
      <xdr:colOff>14050</xdr:colOff>
      <xdr:row>32</xdr:row>
      <xdr:rowOff>36686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BB2EE8CE-D1D8-45F1-8F3E-73EF76FCC4A5}"/>
            </a:ext>
          </a:extLst>
        </xdr:cNvPr>
        <xdr:cNvGrpSpPr/>
      </xdr:nvGrpSpPr>
      <xdr:grpSpPr>
        <a:xfrm>
          <a:off x="2731800" y="3185197"/>
          <a:ext cx="4724450" cy="2833189"/>
          <a:chOff x="2755839" y="3051175"/>
          <a:chExt cx="9756775" cy="2717800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34ADDCF7-398E-49FB-9D71-06D320C8F3D2}"/>
              </a:ext>
            </a:extLst>
          </xdr:cNvPr>
          <xdr:cNvGrpSpPr/>
        </xdr:nvGrpSpPr>
        <xdr:grpSpPr>
          <a:xfrm>
            <a:off x="2755839" y="3396974"/>
            <a:ext cx="9756775" cy="2372001"/>
            <a:chOff x="1657350" y="1009650"/>
            <a:chExt cx="4781550" cy="264795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EE6D9722-D577-4976-AECF-657232D1E641}"/>
                </a:ext>
              </a:extLst>
            </xdr:cNvPr>
            <xdr:cNvSpPr/>
          </xdr:nvSpPr>
          <xdr:spPr>
            <a:xfrm>
              <a:off x="1657350" y="1009650"/>
              <a:ext cx="4781550" cy="2647950"/>
            </a:xfrm>
            <a:prstGeom prst="roundRect">
              <a:avLst>
                <a:gd name="adj" fmla="val 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33C03644-95DD-4F8B-841B-C32BF954820D}"/>
                </a:ext>
              </a:extLst>
            </xdr:cNvPr>
            <xdr:cNvGraphicFramePr>
              <a:graphicFrameLocks/>
            </xdr:cNvGraphicFramePr>
          </xdr:nvGraphicFramePr>
          <xdr:xfrm>
            <a:off x="1743075" y="1051559"/>
            <a:ext cx="4572000" cy="254889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8" name="Retângulo: Cantos Superiores Arredondados 27">
            <a:extLst>
              <a:ext uri="{FF2B5EF4-FFF2-40B4-BE49-F238E27FC236}">
                <a16:creationId xmlns:a16="http://schemas.microsoft.com/office/drawing/2014/main" id="{F3F8E7BF-70BC-4A3A-BEBE-B350951C7E79}"/>
              </a:ext>
            </a:extLst>
          </xdr:cNvPr>
          <xdr:cNvSpPr/>
        </xdr:nvSpPr>
        <xdr:spPr>
          <a:xfrm>
            <a:off x="2756226" y="3051175"/>
            <a:ext cx="9756001" cy="438530"/>
          </a:xfrm>
          <a:prstGeom prst="round2SameRect">
            <a:avLst/>
          </a:prstGeom>
          <a:solidFill>
            <a:srgbClr val="25C25E"/>
          </a:solidFill>
          <a:ln/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 XBOX GAME PASS</a:t>
            </a:r>
            <a:endParaRPr lang="pt-BR" sz="1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711200</xdr:colOff>
      <xdr:row>0</xdr:row>
      <xdr:rowOff>127000</xdr:rowOff>
    </xdr:from>
    <xdr:to>
      <xdr:col>0</xdr:col>
      <xdr:colOff>1765300</xdr:colOff>
      <xdr:row>6</xdr:row>
      <xdr:rowOff>25400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2F7B6058-60BD-4445-9CDB-A37604012487}"/>
            </a:ext>
          </a:extLst>
        </xdr:cNvPr>
        <xdr:cNvSpPr/>
      </xdr:nvSpPr>
      <xdr:spPr>
        <a:xfrm>
          <a:off x="711200" y="127000"/>
          <a:ext cx="1054100" cy="106680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139700</xdr:colOff>
      <xdr:row>7</xdr:row>
      <xdr:rowOff>63500</xdr:rowOff>
    </xdr:from>
    <xdr:to>
      <xdr:col>0</xdr:col>
      <xdr:colOff>2260600</xdr:colOff>
      <xdr:row>8</xdr:row>
      <xdr:rowOff>63500</xdr:rowOff>
    </xdr:to>
    <xdr:sp macro="" textlink="">
      <xdr:nvSpPr>
        <xdr:cNvPr id="32" name="Retângulo: Cantos Arredondados 31">
          <a:extLst>
            <a:ext uri="{FF2B5EF4-FFF2-40B4-BE49-F238E27FC236}">
              <a16:creationId xmlns:a16="http://schemas.microsoft.com/office/drawing/2014/main" id="{17F66E86-3DDF-47AE-97E8-961480E66584}"/>
            </a:ext>
          </a:extLst>
        </xdr:cNvPr>
        <xdr:cNvSpPr/>
      </xdr:nvSpPr>
      <xdr:spPr>
        <a:xfrm>
          <a:off x="139700" y="1358900"/>
          <a:ext cx="2120900" cy="419100"/>
        </a:xfrm>
        <a:prstGeom prst="roundRect">
          <a:avLst>
            <a:gd name="adj" fmla="val 50000"/>
          </a:avLst>
        </a:prstGeom>
        <a:noFill/>
        <a:ln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Bem</a:t>
          </a:r>
          <a:r>
            <a:rPr lang="pt-BR" sz="1400" b="1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 Vinda, JEANNA</a:t>
          </a:r>
          <a:endParaRPr lang="pt-BR" sz="1400" b="1"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107862</xdr:colOff>
      <xdr:row>3</xdr:row>
      <xdr:rowOff>76200</xdr:rowOff>
    </xdr:from>
    <xdr:to>
      <xdr:col>13</xdr:col>
      <xdr:colOff>163359</xdr:colOff>
      <xdr:row>7</xdr:row>
      <xdr:rowOff>50800</xdr:rowOff>
    </xdr:to>
    <xdr:sp macro="" textlink="">
      <xdr:nvSpPr>
        <xdr:cNvPr id="33" name="Retângulo: Cantos Arredondados 32">
          <a:extLst>
            <a:ext uri="{FF2B5EF4-FFF2-40B4-BE49-F238E27FC236}">
              <a16:creationId xmlns:a16="http://schemas.microsoft.com/office/drawing/2014/main" id="{ABE5828D-51A5-4178-8992-E2CC84A232EE}"/>
            </a:ext>
          </a:extLst>
        </xdr:cNvPr>
        <xdr:cNvSpPr/>
      </xdr:nvSpPr>
      <xdr:spPr>
        <a:xfrm>
          <a:off x="2832273" y="921707"/>
          <a:ext cx="7237086" cy="413011"/>
        </a:xfrm>
        <a:prstGeom prst="roundRect">
          <a:avLst>
            <a:gd name="adj" fmla="val 50000"/>
          </a:avLst>
        </a:prstGeom>
        <a:noFill/>
        <a:ln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baseline="0">
              <a:solidFill>
                <a:schemeClr val="bg1">
                  <a:lumMod val="50000"/>
                </a:scheme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Reporting period : 01/01/2024 - 31/12/2024 | Update date : 26/09/2026 - 14:21:30</a:t>
          </a:r>
          <a:endParaRPr lang="pt-BR" sz="1400" b="1">
            <a:solidFill>
              <a:schemeClr val="bg1">
                <a:lumMod val="50000"/>
              </a:schemeClr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127000</xdr:colOff>
      <xdr:row>17</xdr:row>
      <xdr:rowOff>127000</xdr:rowOff>
    </xdr:from>
    <xdr:to>
      <xdr:col>0</xdr:col>
      <xdr:colOff>2209800</xdr:colOff>
      <xdr:row>25</xdr:row>
      <xdr:rowOff>63500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9" name="Plan">
              <a:extLst>
                <a:ext uri="{FF2B5EF4-FFF2-40B4-BE49-F238E27FC236}">
                  <a16:creationId xmlns:a16="http://schemas.microsoft.com/office/drawing/2014/main" id="{473088CF-A851-46E2-A14A-2B5021F18D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00" y="3445933"/>
              <a:ext cx="2082800" cy="1358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9</xdr:col>
      <xdr:colOff>501898</xdr:colOff>
      <xdr:row>16</xdr:row>
      <xdr:rowOff>65205</xdr:rowOff>
    </xdr:from>
    <xdr:to>
      <xdr:col>17</xdr:col>
      <xdr:colOff>43650</xdr:colOff>
      <xdr:row>32</xdr:row>
      <xdr:rowOff>33867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42CA9BE6-4119-4FA4-A981-D0C67B93343D}"/>
            </a:ext>
          </a:extLst>
        </xdr:cNvPr>
        <xdr:cNvGrpSpPr/>
      </xdr:nvGrpSpPr>
      <xdr:grpSpPr>
        <a:xfrm>
          <a:off x="7944098" y="3202105"/>
          <a:ext cx="4761452" cy="2813462"/>
          <a:chOff x="7910231" y="3197897"/>
          <a:chExt cx="4706355" cy="2821904"/>
        </a:xfrm>
      </xdr:grpSpPr>
      <xdr:graphicFrame macro="">
        <xdr:nvGraphicFramePr>
          <xdr:cNvPr id="34" name="Gráfico 33">
            <a:extLst>
              <a:ext uri="{FF2B5EF4-FFF2-40B4-BE49-F238E27FC236}">
                <a16:creationId xmlns:a16="http://schemas.microsoft.com/office/drawing/2014/main" id="{AD91B3A3-A281-4542-910D-37DE68F9C83B}"/>
              </a:ext>
            </a:extLst>
          </xdr:cNvPr>
          <xdr:cNvGraphicFramePr>
            <a:graphicFrameLocks/>
          </xdr:cNvGraphicFramePr>
        </xdr:nvGraphicFramePr>
        <xdr:xfrm>
          <a:off x="7910231" y="3489164"/>
          <a:ext cx="4689419" cy="253063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41" name="Retângulo: Cantos Superiores Arredondados 40">
            <a:extLst>
              <a:ext uri="{FF2B5EF4-FFF2-40B4-BE49-F238E27FC236}">
                <a16:creationId xmlns:a16="http://schemas.microsoft.com/office/drawing/2014/main" id="{A36379CD-553E-4DA3-82B3-08A9503B8FF5}"/>
              </a:ext>
            </a:extLst>
          </xdr:cNvPr>
          <xdr:cNvSpPr/>
        </xdr:nvSpPr>
        <xdr:spPr>
          <a:xfrm>
            <a:off x="7927167" y="3197897"/>
            <a:ext cx="4689419" cy="432000"/>
          </a:xfrm>
          <a:prstGeom prst="round2SameRect">
            <a:avLst/>
          </a:prstGeom>
          <a:solidFill>
            <a:srgbClr val="25C25E"/>
          </a:solidFill>
          <a:ln/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 / PLAN</a:t>
            </a:r>
            <a:endParaRPr lang="pt-BR" sz="1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</xdr:col>
      <xdr:colOff>254064</xdr:colOff>
      <xdr:row>34</xdr:row>
      <xdr:rowOff>0</xdr:rowOff>
    </xdr:from>
    <xdr:to>
      <xdr:col>17</xdr:col>
      <xdr:colOff>19464</xdr:colOff>
      <xdr:row>51</xdr:row>
      <xdr:rowOff>31050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450B497D-ADC6-4ADC-91CB-0AB13DAC2BB6}"/>
            </a:ext>
          </a:extLst>
        </xdr:cNvPr>
        <xdr:cNvGrpSpPr/>
      </xdr:nvGrpSpPr>
      <xdr:grpSpPr>
        <a:xfrm>
          <a:off x="2705164" y="6337300"/>
          <a:ext cx="9976200" cy="3053650"/>
          <a:chOff x="7621296" y="5700055"/>
          <a:chExt cx="4690657" cy="2970627"/>
        </a:xfrm>
      </xdr:grpSpPr>
      <xdr:graphicFrame macro="">
        <xdr:nvGraphicFramePr>
          <xdr:cNvPr id="40" name="Gráfico 39">
            <a:extLst>
              <a:ext uri="{FF2B5EF4-FFF2-40B4-BE49-F238E27FC236}">
                <a16:creationId xmlns:a16="http://schemas.microsoft.com/office/drawing/2014/main" id="{4BAA37A1-9CBB-4204-87D1-8A17EF53BF4F}"/>
              </a:ext>
            </a:extLst>
          </xdr:cNvPr>
          <xdr:cNvGraphicFramePr>
            <a:graphicFrameLocks/>
          </xdr:cNvGraphicFramePr>
        </xdr:nvGraphicFramePr>
        <xdr:xfrm>
          <a:off x="7621296" y="6003549"/>
          <a:ext cx="4690657" cy="266713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42" name="Retângulo: Cantos Superiores Arredondados 41">
            <a:extLst>
              <a:ext uri="{FF2B5EF4-FFF2-40B4-BE49-F238E27FC236}">
                <a16:creationId xmlns:a16="http://schemas.microsoft.com/office/drawing/2014/main" id="{F21F570F-9562-4184-AF91-4BE2C5CCBCFA}"/>
              </a:ext>
            </a:extLst>
          </xdr:cNvPr>
          <xdr:cNvSpPr/>
        </xdr:nvSpPr>
        <xdr:spPr>
          <a:xfrm>
            <a:off x="7621296" y="5700055"/>
            <a:ext cx="4690657" cy="440462"/>
          </a:xfrm>
          <a:prstGeom prst="round2SameRect">
            <a:avLst/>
          </a:prstGeom>
          <a:solidFill>
            <a:srgbClr val="25C25E"/>
          </a:solidFill>
          <a:ln/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MONTHLY</a:t>
            </a:r>
            <a:r>
              <a:rPr lang="pt-BR" sz="14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PROGRESSION / PLAN</a:t>
            </a:r>
            <a:endParaRPr lang="pt-BR" sz="1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an Dael Edouard" refreshedDate="46291.54306585648" createdVersion="6" refreshedVersion="6" minRefreshableVersion="3" recordCount="295" xr:uid="{EEDB9BF9-4D6E-4F6A-9AD0-D6914C6CF250}">
  <cacheSource type="worksheet">
    <worksheetSource name="Tabela1"/>
  </cacheSource>
  <cacheFields count="14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3"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Meses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8080489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n v="15"/>
    <x v="0"/>
    <x v="0"/>
    <x v="0"/>
    <s v="Yes"/>
    <n v="20"/>
    <n v="5"/>
    <n v="60"/>
  </r>
  <r>
    <n v="3232"/>
    <x v="1"/>
    <x v="1"/>
    <x v="1"/>
    <x v="1"/>
    <n v="5"/>
    <x v="1"/>
    <x v="1"/>
    <x v="1"/>
    <s v="No"/>
    <n v="0"/>
    <n v="0"/>
    <n v="5"/>
  </r>
  <r>
    <n v="3233"/>
    <x v="2"/>
    <x v="2"/>
    <x v="2"/>
    <x v="0"/>
    <n v="10"/>
    <x v="2"/>
    <x v="1"/>
    <x v="1"/>
    <s v="Yes"/>
    <n v="20"/>
    <n v="10"/>
    <n v="20"/>
  </r>
  <r>
    <n v="3234"/>
    <x v="3"/>
    <x v="0"/>
    <x v="3"/>
    <x v="1"/>
    <n v="15"/>
    <x v="0"/>
    <x v="0"/>
    <x v="0"/>
    <s v="Yes"/>
    <n v="20"/>
    <n v="3"/>
    <n v="62"/>
  </r>
  <r>
    <n v="3235"/>
    <x v="4"/>
    <x v="1"/>
    <x v="4"/>
    <x v="0"/>
    <n v="5"/>
    <x v="0"/>
    <x v="1"/>
    <x v="1"/>
    <s v="No"/>
    <n v="0"/>
    <n v="1"/>
    <n v="4"/>
  </r>
  <r>
    <n v="3236"/>
    <x v="5"/>
    <x v="2"/>
    <x v="5"/>
    <x v="1"/>
    <n v="10"/>
    <x v="0"/>
    <x v="1"/>
    <x v="1"/>
    <s v="Yes"/>
    <n v="20"/>
    <n v="2"/>
    <n v="28"/>
  </r>
  <r>
    <n v="3237"/>
    <x v="6"/>
    <x v="0"/>
    <x v="6"/>
    <x v="0"/>
    <n v="15"/>
    <x v="2"/>
    <x v="0"/>
    <x v="0"/>
    <s v="Yes"/>
    <n v="20"/>
    <n v="10"/>
    <n v="55"/>
  </r>
  <r>
    <n v="3238"/>
    <x v="7"/>
    <x v="1"/>
    <x v="7"/>
    <x v="0"/>
    <n v="5"/>
    <x v="1"/>
    <x v="1"/>
    <x v="1"/>
    <s v="No"/>
    <n v="0"/>
    <n v="0"/>
    <n v="5"/>
  </r>
  <r>
    <n v="3239"/>
    <x v="8"/>
    <x v="0"/>
    <x v="4"/>
    <x v="1"/>
    <n v="15"/>
    <x v="0"/>
    <x v="0"/>
    <x v="0"/>
    <s v="Yes"/>
    <n v="20"/>
    <n v="5"/>
    <n v="60"/>
  </r>
  <r>
    <n v="3240"/>
    <x v="9"/>
    <x v="2"/>
    <x v="8"/>
    <x v="0"/>
    <n v="10"/>
    <x v="2"/>
    <x v="1"/>
    <x v="1"/>
    <s v="Yes"/>
    <n v="20"/>
    <n v="15"/>
    <n v="15"/>
  </r>
  <r>
    <n v="3241"/>
    <x v="10"/>
    <x v="1"/>
    <x v="9"/>
    <x v="1"/>
    <n v="5"/>
    <x v="0"/>
    <x v="1"/>
    <x v="1"/>
    <s v="No"/>
    <n v="0"/>
    <n v="1"/>
    <n v="4"/>
  </r>
  <r>
    <n v="3242"/>
    <x v="11"/>
    <x v="0"/>
    <x v="10"/>
    <x v="0"/>
    <n v="15"/>
    <x v="1"/>
    <x v="0"/>
    <x v="0"/>
    <s v="Yes"/>
    <n v="20"/>
    <n v="20"/>
    <n v="45"/>
  </r>
  <r>
    <n v="3243"/>
    <x v="12"/>
    <x v="2"/>
    <x v="11"/>
    <x v="1"/>
    <n v="10"/>
    <x v="0"/>
    <x v="1"/>
    <x v="1"/>
    <s v="Yes"/>
    <n v="20"/>
    <n v="10"/>
    <n v="20"/>
  </r>
  <r>
    <n v="3244"/>
    <x v="13"/>
    <x v="1"/>
    <x v="12"/>
    <x v="0"/>
    <n v="5"/>
    <x v="2"/>
    <x v="1"/>
    <x v="1"/>
    <s v="No"/>
    <n v="0"/>
    <n v="0"/>
    <n v="5"/>
  </r>
  <r>
    <n v="3245"/>
    <x v="14"/>
    <x v="0"/>
    <x v="13"/>
    <x v="1"/>
    <n v="15"/>
    <x v="0"/>
    <x v="0"/>
    <x v="0"/>
    <s v="Yes"/>
    <n v="20"/>
    <n v="8"/>
    <n v="57"/>
  </r>
  <r>
    <n v="3246"/>
    <x v="15"/>
    <x v="2"/>
    <x v="14"/>
    <x v="0"/>
    <n v="10"/>
    <x v="1"/>
    <x v="1"/>
    <x v="1"/>
    <s v="Yes"/>
    <n v="20"/>
    <n v="12"/>
    <n v="18"/>
  </r>
  <r>
    <n v="3247"/>
    <x v="16"/>
    <x v="1"/>
    <x v="15"/>
    <x v="1"/>
    <n v="5"/>
    <x v="0"/>
    <x v="1"/>
    <x v="1"/>
    <s v="No"/>
    <n v="0"/>
    <n v="2"/>
    <n v="3"/>
  </r>
  <r>
    <n v="3248"/>
    <x v="17"/>
    <x v="0"/>
    <x v="16"/>
    <x v="0"/>
    <n v="15"/>
    <x v="2"/>
    <x v="0"/>
    <x v="0"/>
    <s v="Yes"/>
    <n v="20"/>
    <n v="7"/>
    <n v="58"/>
  </r>
  <r>
    <n v="3249"/>
    <x v="18"/>
    <x v="2"/>
    <x v="17"/>
    <x v="1"/>
    <n v="10"/>
    <x v="0"/>
    <x v="1"/>
    <x v="1"/>
    <s v="Yes"/>
    <n v="20"/>
    <n v="5"/>
    <n v="25"/>
  </r>
  <r>
    <n v="3250"/>
    <x v="19"/>
    <x v="1"/>
    <x v="18"/>
    <x v="0"/>
    <n v="5"/>
    <x v="1"/>
    <x v="1"/>
    <x v="1"/>
    <s v="No"/>
    <n v="0"/>
    <n v="0"/>
    <n v="5"/>
  </r>
  <r>
    <n v="3251"/>
    <x v="20"/>
    <x v="0"/>
    <x v="19"/>
    <x v="1"/>
    <n v="15"/>
    <x v="0"/>
    <x v="0"/>
    <x v="0"/>
    <s v="Yes"/>
    <n v="20"/>
    <n v="3"/>
    <n v="62"/>
  </r>
  <r>
    <n v="3252"/>
    <x v="21"/>
    <x v="2"/>
    <x v="20"/>
    <x v="0"/>
    <n v="10"/>
    <x v="2"/>
    <x v="1"/>
    <x v="1"/>
    <s v="Yes"/>
    <n v="20"/>
    <n v="15"/>
    <n v="15"/>
  </r>
  <r>
    <n v="3253"/>
    <x v="22"/>
    <x v="1"/>
    <x v="21"/>
    <x v="1"/>
    <n v="5"/>
    <x v="0"/>
    <x v="1"/>
    <x v="1"/>
    <s v="No"/>
    <n v="0"/>
    <n v="1"/>
    <n v="4"/>
  </r>
  <r>
    <n v="3254"/>
    <x v="23"/>
    <x v="0"/>
    <x v="22"/>
    <x v="0"/>
    <n v="15"/>
    <x v="1"/>
    <x v="0"/>
    <x v="0"/>
    <s v="Yes"/>
    <n v="20"/>
    <n v="20"/>
    <n v="45"/>
  </r>
  <r>
    <n v="3255"/>
    <x v="24"/>
    <x v="2"/>
    <x v="23"/>
    <x v="1"/>
    <n v="10"/>
    <x v="0"/>
    <x v="1"/>
    <x v="1"/>
    <s v="Yes"/>
    <n v="20"/>
    <n v="10"/>
    <n v="20"/>
  </r>
  <r>
    <n v="3256"/>
    <x v="25"/>
    <x v="1"/>
    <x v="24"/>
    <x v="0"/>
    <n v="5"/>
    <x v="2"/>
    <x v="1"/>
    <x v="1"/>
    <s v="No"/>
    <n v="0"/>
    <n v="0"/>
    <n v="5"/>
  </r>
  <r>
    <n v="3257"/>
    <x v="26"/>
    <x v="0"/>
    <x v="25"/>
    <x v="1"/>
    <n v="15"/>
    <x v="0"/>
    <x v="0"/>
    <x v="0"/>
    <s v="Yes"/>
    <n v="20"/>
    <n v="5"/>
    <n v="60"/>
  </r>
  <r>
    <n v="3258"/>
    <x v="27"/>
    <x v="2"/>
    <x v="26"/>
    <x v="0"/>
    <n v="10"/>
    <x v="1"/>
    <x v="1"/>
    <x v="1"/>
    <s v="Yes"/>
    <n v="20"/>
    <n v="15"/>
    <n v="15"/>
  </r>
  <r>
    <n v="3259"/>
    <x v="28"/>
    <x v="1"/>
    <x v="27"/>
    <x v="1"/>
    <n v="5"/>
    <x v="0"/>
    <x v="1"/>
    <x v="1"/>
    <s v="No"/>
    <n v="0"/>
    <n v="1"/>
    <n v="4"/>
  </r>
  <r>
    <n v="3260"/>
    <x v="29"/>
    <x v="0"/>
    <x v="28"/>
    <x v="0"/>
    <n v="15"/>
    <x v="2"/>
    <x v="0"/>
    <x v="0"/>
    <s v="Yes"/>
    <n v="20"/>
    <n v="7"/>
    <n v="58"/>
  </r>
  <r>
    <n v="3261"/>
    <x v="30"/>
    <x v="2"/>
    <x v="29"/>
    <x v="1"/>
    <n v="10"/>
    <x v="0"/>
    <x v="1"/>
    <x v="1"/>
    <s v="Yes"/>
    <n v="20"/>
    <n v="10"/>
    <n v="20"/>
  </r>
  <r>
    <n v="3262"/>
    <x v="31"/>
    <x v="1"/>
    <x v="30"/>
    <x v="0"/>
    <n v="5"/>
    <x v="1"/>
    <x v="1"/>
    <x v="1"/>
    <s v="No"/>
    <n v="0"/>
    <n v="0"/>
    <n v="5"/>
  </r>
  <r>
    <n v="3263"/>
    <x v="32"/>
    <x v="0"/>
    <x v="31"/>
    <x v="1"/>
    <n v="15"/>
    <x v="0"/>
    <x v="0"/>
    <x v="0"/>
    <s v="Yes"/>
    <n v="20"/>
    <n v="3"/>
    <n v="62"/>
  </r>
  <r>
    <n v="3264"/>
    <x v="33"/>
    <x v="2"/>
    <x v="32"/>
    <x v="0"/>
    <n v="10"/>
    <x v="2"/>
    <x v="1"/>
    <x v="1"/>
    <s v="Yes"/>
    <n v="20"/>
    <n v="15"/>
    <n v="15"/>
  </r>
  <r>
    <n v="3265"/>
    <x v="34"/>
    <x v="1"/>
    <x v="33"/>
    <x v="1"/>
    <n v="5"/>
    <x v="0"/>
    <x v="1"/>
    <x v="1"/>
    <s v="No"/>
    <n v="0"/>
    <n v="1"/>
    <n v="4"/>
  </r>
  <r>
    <n v="3266"/>
    <x v="35"/>
    <x v="1"/>
    <x v="34"/>
    <x v="0"/>
    <n v="5"/>
    <x v="0"/>
    <x v="1"/>
    <x v="1"/>
    <s v="No"/>
    <n v="0"/>
    <n v="0"/>
    <n v="5"/>
  </r>
  <r>
    <n v="3267"/>
    <x v="36"/>
    <x v="0"/>
    <x v="35"/>
    <x v="1"/>
    <n v="15"/>
    <x v="2"/>
    <x v="0"/>
    <x v="0"/>
    <s v="Yes"/>
    <n v="20"/>
    <n v="7"/>
    <n v="58"/>
  </r>
  <r>
    <n v="3268"/>
    <x v="37"/>
    <x v="2"/>
    <x v="36"/>
    <x v="0"/>
    <n v="10"/>
    <x v="1"/>
    <x v="1"/>
    <x v="1"/>
    <s v="Yes"/>
    <n v="20"/>
    <n v="10"/>
    <n v="20"/>
  </r>
  <r>
    <n v="3269"/>
    <x v="38"/>
    <x v="1"/>
    <x v="37"/>
    <x v="1"/>
    <n v="5"/>
    <x v="2"/>
    <x v="1"/>
    <x v="1"/>
    <s v="No"/>
    <n v="0"/>
    <n v="1"/>
    <n v="4"/>
  </r>
  <r>
    <n v="3270"/>
    <x v="39"/>
    <x v="0"/>
    <x v="38"/>
    <x v="0"/>
    <n v="15"/>
    <x v="0"/>
    <x v="0"/>
    <x v="0"/>
    <s v="Yes"/>
    <n v="20"/>
    <n v="15"/>
    <n v="50"/>
  </r>
  <r>
    <n v="3271"/>
    <x v="40"/>
    <x v="2"/>
    <x v="39"/>
    <x v="1"/>
    <n v="10"/>
    <x v="0"/>
    <x v="1"/>
    <x v="1"/>
    <s v="Yes"/>
    <n v="20"/>
    <n v="5"/>
    <n v="25"/>
  </r>
  <r>
    <n v="3272"/>
    <x v="41"/>
    <x v="1"/>
    <x v="40"/>
    <x v="0"/>
    <n v="5"/>
    <x v="1"/>
    <x v="1"/>
    <x v="1"/>
    <s v="No"/>
    <n v="0"/>
    <n v="0"/>
    <n v="5"/>
  </r>
  <r>
    <n v="3273"/>
    <x v="42"/>
    <x v="0"/>
    <x v="41"/>
    <x v="1"/>
    <n v="15"/>
    <x v="2"/>
    <x v="0"/>
    <x v="0"/>
    <s v="Yes"/>
    <n v="20"/>
    <n v="20"/>
    <n v="45"/>
  </r>
  <r>
    <n v="3274"/>
    <x v="43"/>
    <x v="2"/>
    <x v="42"/>
    <x v="0"/>
    <n v="10"/>
    <x v="2"/>
    <x v="1"/>
    <x v="1"/>
    <s v="Yes"/>
    <n v="20"/>
    <n v="12"/>
    <n v="18"/>
  </r>
  <r>
    <n v="3275"/>
    <x v="44"/>
    <x v="1"/>
    <x v="43"/>
    <x v="1"/>
    <n v="5"/>
    <x v="0"/>
    <x v="1"/>
    <x v="1"/>
    <s v="No"/>
    <n v="0"/>
    <n v="2"/>
    <n v="3"/>
  </r>
  <r>
    <n v="3276"/>
    <x v="45"/>
    <x v="0"/>
    <x v="44"/>
    <x v="0"/>
    <n v="15"/>
    <x v="1"/>
    <x v="0"/>
    <x v="0"/>
    <s v="Yes"/>
    <n v="20"/>
    <n v="5"/>
    <n v="60"/>
  </r>
  <r>
    <n v="3277"/>
    <x v="46"/>
    <x v="2"/>
    <x v="45"/>
    <x v="1"/>
    <n v="10"/>
    <x v="0"/>
    <x v="1"/>
    <x v="1"/>
    <s v="Yes"/>
    <n v="20"/>
    <n v="10"/>
    <n v="20"/>
  </r>
  <r>
    <n v="3278"/>
    <x v="47"/>
    <x v="1"/>
    <x v="46"/>
    <x v="0"/>
    <n v="5"/>
    <x v="2"/>
    <x v="1"/>
    <x v="1"/>
    <s v="No"/>
    <n v="0"/>
    <n v="0"/>
    <n v="5"/>
  </r>
  <r>
    <n v="3279"/>
    <x v="48"/>
    <x v="0"/>
    <x v="47"/>
    <x v="1"/>
    <n v="15"/>
    <x v="0"/>
    <x v="0"/>
    <x v="0"/>
    <s v="Yes"/>
    <n v="20"/>
    <n v="3"/>
    <n v="62"/>
  </r>
  <r>
    <n v="3280"/>
    <x v="49"/>
    <x v="2"/>
    <x v="48"/>
    <x v="0"/>
    <n v="10"/>
    <x v="1"/>
    <x v="1"/>
    <x v="1"/>
    <s v="Yes"/>
    <n v="20"/>
    <n v="15"/>
    <n v="15"/>
  </r>
  <r>
    <n v="3281"/>
    <x v="50"/>
    <x v="1"/>
    <x v="49"/>
    <x v="1"/>
    <n v="5"/>
    <x v="0"/>
    <x v="1"/>
    <x v="1"/>
    <s v="No"/>
    <n v="0"/>
    <n v="1"/>
    <n v="4"/>
  </r>
  <r>
    <n v="3282"/>
    <x v="51"/>
    <x v="0"/>
    <x v="50"/>
    <x v="0"/>
    <n v="15"/>
    <x v="2"/>
    <x v="0"/>
    <x v="0"/>
    <s v="Yes"/>
    <n v="20"/>
    <n v="7"/>
    <n v="58"/>
  </r>
  <r>
    <n v="3283"/>
    <x v="52"/>
    <x v="2"/>
    <x v="51"/>
    <x v="1"/>
    <n v="10"/>
    <x v="0"/>
    <x v="1"/>
    <x v="1"/>
    <s v="Yes"/>
    <n v="20"/>
    <n v="10"/>
    <n v="20"/>
  </r>
  <r>
    <n v="3284"/>
    <x v="53"/>
    <x v="1"/>
    <x v="52"/>
    <x v="0"/>
    <n v="5"/>
    <x v="1"/>
    <x v="1"/>
    <x v="1"/>
    <s v="No"/>
    <n v="0"/>
    <n v="0"/>
    <n v="5"/>
  </r>
  <r>
    <n v="3285"/>
    <x v="54"/>
    <x v="0"/>
    <x v="53"/>
    <x v="1"/>
    <n v="15"/>
    <x v="0"/>
    <x v="0"/>
    <x v="0"/>
    <s v="Yes"/>
    <n v="20"/>
    <n v="20"/>
    <n v="45"/>
  </r>
  <r>
    <n v="3286"/>
    <x v="55"/>
    <x v="2"/>
    <x v="54"/>
    <x v="0"/>
    <n v="10"/>
    <x v="2"/>
    <x v="1"/>
    <x v="1"/>
    <s v="Yes"/>
    <n v="20"/>
    <n v="15"/>
    <n v="15"/>
  </r>
  <r>
    <n v="3287"/>
    <x v="56"/>
    <x v="1"/>
    <x v="55"/>
    <x v="1"/>
    <n v="5"/>
    <x v="0"/>
    <x v="1"/>
    <x v="1"/>
    <s v="No"/>
    <n v="0"/>
    <n v="1"/>
    <n v="4"/>
  </r>
  <r>
    <n v="3288"/>
    <x v="57"/>
    <x v="0"/>
    <x v="56"/>
    <x v="0"/>
    <n v="15"/>
    <x v="1"/>
    <x v="0"/>
    <x v="0"/>
    <s v="Yes"/>
    <n v="20"/>
    <n v="3"/>
    <n v="62"/>
  </r>
  <r>
    <n v="3289"/>
    <x v="58"/>
    <x v="2"/>
    <x v="57"/>
    <x v="1"/>
    <n v="10"/>
    <x v="0"/>
    <x v="1"/>
    <x v="1"/>
    <s v="Yes"/>
    <n v="20"/>
    <n v="10"/>
    <n v="20"/>
  </r>
  <r>
    <n v="3290"/>
    <x v="59"/>
    <x v="1"/>
    <x v="58"/>
    <x v="0"/>
    <n v="5"/>
    <x v="2"/>
    <x v="1"/>
    <x v="1"/>
    <s v="No"/>
    <n v="0"/>
    <n v="0"/>
    <n v="5"/>
  </r>
  <r>
    <n v="3291"/>
    <x v="60"/>
    <x v="0"/>
    <x v="59"/>
    <x v="1"/>
    <n v="15"/>
    <x v="0"/>
    <x v="0"/>
    <x v="0"/>
    <s v="Yes"/>
    <n v="20"/>
    <n v="5"/>
    <n v="60"/>
  </r>
  <r>
    <n v="3292"/>
    <x v="61"/>
    <x v="2"/>
    <x v="60"/>
    <x v="0"/>
    <n v="10"/>
    <x v="1"/>
    <x v="1"/>
    <x v="1"/>
    <s v="Yes"/>
    <n v="20"/>
    <n v="15"/>
    <n v="15"/>
  </r>
  <r>
    <n v="3293"/>
    <x v="62"/>
    <x v="1"/>
    <x v="61"/>
    <x v="1"/>
    <n v="5"/>
    <x v="0"/>
    <x v="1"/>
    <x v="1"/>
    <s v="No"/>
    <n v="0"/>
    <n v="1"/>
    <n v="4"/>
  </r>
  <r>
    <n v="3294"/>
    <x v="63"/>
    <x v="0"/>
    <x v="62"/>
    <x v="0"/>
    <n v="15"/>
    <x v="2"/>
    <x v="0"/>
    <x v="0"/>
    <s v="Yes"/>
    <n v="20"/>
    <n v="20"/>
    <n v="45"/>
  </r>
  <r>
    <n v="3295"/>
    <x v="64"/>
    <x v="2"/>
    <x v="63"/>
    <x v="1"/>
    <n v="10"/>
    <x v="0"/>
    <x v="1"/>
    <x v="1"/>
    <s v="Yes"/>
    <n v="20"/>
    <n v="5"/>
    <n v="25"/>
  </r>
  <r>
    <n v="3296"/>
    <x v="65"/>
    <x v="1"/>
    <x v="64"/>
    <x v="1"/>
    <n v="5"/>
    <x v="0"/>
    <x v="1"/>
    <x v="1"/>
    <s v="No"/>
    <n v="0"/>
    <n v="0"/>
    <n v="5"/>
  </r>
  <r>
    <n v="3297"/>
    <x v="66"/>
    <x v="0"/>
    <x v="65"/>
    <x v="0"/>
    <n v="15"/>
    <x v="2"/>
    <x v="0"/>
    <x v="0"/>
    <s v="Yes"/>
    <n v="20"/>
    <n v="7"/>
    <n v="58"/>
  </r>
  <r>
    <n v="3298"/>
    <x v="67"/>
    <x v="2"/>
    <x v="66"/>
    <x v="1"/>
    <n v="10"/>
    <x v="1"/>
    <x v="1"/>
    <x v="1"/>
    <s v="Yes"/>
    <n v="20"/>
    <n v="10"/>
    <n v="20"/>
  </r>
  <r>
    <n v="3299"/>
    <x v="68"/>
    <x v="1"/>
    <x v="67"/>
    <x v="0"/>
    <n v="5"/>
    <x v="2"/>
    <x v="1"/>
    <x v="1"/>
    <s v="No"/>
    <n v="0"/>
    <n v="1"/>
    <n v="4"/>
  </r>
  <r>
    <n v="3300"/>
    <x v="69"/>
    <x v="0"/>
    <x v="68"/>
    <x v="1"/>
    <n v="15"/>
    <x v="0"/>
    <x v="0"/>
    <x v="0"/>
    <s v="Yes"/>
    <n v="20"/>
    <n v="15"/>
    <n v="50"/>
  </r>
  <r>
    <n v="3301"/>
    <x v="70"/>
    <x v="2"/>
    <x v="69"/>
    <x v="0"/>
    <n v="10"/>
    <x v="0"/>
    <x v="1"/>
    <x v="1"/>
    <s v="Yes"/>
    <n v="20"/>
    <n v="5"/>
    <n v="25"/>
  </r>
  <r>
    <n v="3302"/>
    <x v="71"/>
    <x v="1"/>
    <x v="70"/>
    <x v="1"/>
    <n v="5"/>
    <x v="1"/>
    <x v="1"/>
    <x v="1"/>
    <s v="No"/>
    <n v="0"/>
    <n v="0"/>
    <n v="5"/>
  </r>
  <r>
    <n v="3303"/>
    <x v="72"/>
    <x v="0"/>
    <x v="71"/>
    <x v="0"/>
    <n v="15"/>
    <x v="2"/>
    <x v="0"/>
    <x v="0"/>
    <s v="Yes"/>
    <n v="20"/>
    <n v="20"/>
    <n v="45"/>
  </r>
  <r>
    <n v="3304"/>
    <x v="73"/>
    <x v="2"/>
    <x v="72"/>
    <x v="1"/>
    <n v="10"/>
    <x v="2"/>
    <x v="1"/>
    <x v="1"/>
    <s v="Yes"/>
    <n v="20"/>
    <n v="12"/>
    <n v="18"/>
  </r>
  <r>
    <n v="3305"/>
    <x v="74"/>
    <x v="1"/>
    <x v="73"/>
    <x v="0"/>
    <n v="5"/>
    <x v="0"/>
    <x v="1"/>
    <x v="1"/>
    <s v="No"/>
    <n v="0"/>
    <n v="2"/>
    <n v="3"/>
  </r>
  <r>
    <n v="3306"/>
    <x v="75"/>
    <x v="0"/>
    <x v="74"/>
    <x v="1"/>
    <n v="15"/>
    <x v="1"/>
    <x v="0"/>
    <x v="0"/>
    <s v="Yes"/>
    <n v="20"/>
    <n v="5"/>
    <n v="60"/>
  </r>
  <r>
    <n v="3307"/>
    <x v="76"/>
    <x v="2"/>
    <x v="75"/>
    <x v="0"/>
    <n v="10"/>
    <x v="0"/>
    <x v="1"/>
    <x v="1"/>
    <s v="Yes"/>
    <n v="20"/>
    <n v="10"/>
    <n v="20"/>
  </r>
  <r>
    <n v="3308"/>
    <x v="77"/>
    <x v="1"/>
    <x v="76"/>
    <x v="1"/>
    <n v="5"/>
    <x v="2"/>
    <x v="1"/>
    <x v="1"/>
    <s v="No"/>
    <n v="0"/>
    <n v="0"/>
    <n v="5"/>
  </r>
  <r>
    <n v="3309"/>
    <x v="78"/>
    <x v="0"/>
    <x v="77"/>
    <x v="0"/>
    <n v="15"/>
    <x v="0"/>
    <x v="0"/>
    <x v="0"/>
    <s v="Yes"/>
    <n v="20"/>
    <n v="3"/>
    <n v="62"/>
  </r>
  <r>
    <n v="3310"/>
    <x v="79"/>
    <x v="2"/>
    <x v="78"/>
    <x v="1"/>
    <n v="10"/>
    <x v="1"/>
    <x v="1"/>
    <x v="1"/>
    <s v="Yes"/>
    <n v="20"/>
    <n v="15"/>
    <n v="15"/>
  </r>
  <r>
    <n v="3311"/>
    <x v="80"/>
    <x v="1"/>
    <x v="79"/>
    <x v="0"/>
    <n v="5"/>
    <x v="0"/>
    <x v="1"/>
    <x v="1"/>
    <s v="No"/>
    <n v="0"/>
    <n v="1"/>
    <n v="4"/>
  </r>
  <r>
    <n v="3312"/>
    <x v="81"/>
    <x v="0"/>
    <x v="80"/>
    <x v="1"/>
    <n v="15"/>
    <x v="2"/>
    <x v="0"/>
    <x v="0"/>
    <s v="Yes"/>
    <n v="20"/>
    <n v="7"/>
    <n v="58"/>
  </r>
  <r>
    <n v="3313"/>
    <x v="82"/>
    <x v="2"/>
    <x v="81"/>
    <x v="0"/>
    <n v="10"/>
    <x v="0"/>
    <x v="1"/>
    <x v="1"/>
    <s v="Yes"/>
    <n v="20"/>
    <n v="10"/>
    <n v="20"/>
  </r>
  <r>
    <n v="3314"/>
    <x v="83"/>
    <x v="1"/>
    <x v="82"/>
    <x v="1"/>
    <n v="5"/>
    <x v="1"/>
    <x v="1"/>
    <x v="1"/>
    <s v="No"/>
    <n v="0"/>
    <n v="0"/>
    <n v="5"/>
  </r>
  <r>
    <n v="3315"/>
    <x v="84"/>
    <x v="0"/>
    <x v="83"/>
    <x v="0"/>
    <n v="15"/>
    <x v="0"/>
    <x v="0"/>
    <x v="0"/>
    <s v="Yes"/>
    <n v="20"/>
    <n v="20"/>
    <n v="45"/>
  </r>
  <r>
    <n v="3316"/>
    <x v="85"/>
    <x v="2"/>
    <x v="84"/>
    <x v="1"/>
    <n v="10"/>
    <x v="2"/>
    <x v="1"/>
    <x v="1"/>
    <s v="Yes"/>
    <n v="20"/>
    <n v="15"/>
    <n v="15"/>
  </r>
  <r>
    <n v="3317"/>
    <x v="86"/>
    <x v="1"/>
    <x v="85"/>
    <x v="0"/>
    <n v="5"/>
    <x v="0"/>
    <x v="1"/>
    <x v="1"/>
    <s v="No"/>
    <n v="0"/>
    <n v="1"/>
    <n v="4"/>
  </r>
  <r>
    <n v="3318"/>
    <x v="87"/>
    <x v="0"/>
    <x v="86"/>
    <x v="1"/>
    <n v="15"/>
    <x v="1"/>
    <x v="0"/>
    <x v="0"/>
    <s v="Yes"/>
    <n v="20"/>
    <n v="3"/>
    <n v="62"/>
  </r>
  <r>
    <n v="3319"/>
    <x v="88"/>
    <x v="2"/>
    <x v="87"/>
    <x v="0"/>
    <n v="10"/>
    <x v="0"/>
    <x v="1"/>
    <x v="1"/>
    <s v="Yes"/>
    <n v="20"/>
    <n v="10"/>
    <n v="20"/>
  </r>
  <r>
    <n v="3320"/>
    <x v="89"/>
    <x v="1"/>
    <x v="88"/>
    <x v="1"/>
    <n v="5"/>
    <x v="2"/>
    <x v="1"/>
    <x v="1"/>
    <s v="No"/>
    <n v="0"/>
    <n v="0"/>
    <n v="5"/>
  </r>
  <r>
    <n v="3321"/>
    <x v="90"/>
    <x v="0"/>
    <x v="89"/>
    <x v="0"/>
    <n v="15"/>
    <x v="0"/>
    <x v="0"/>
    <x v="0"/>
    <s v="Yes"/>
    <n v="20"/>
    <n v="5"/>
    <n v="60"/>
  </r>
  <r>
    <n v="3322"/>
    <x v="91"/>
    <x v="2"/>
    <x v="90"/>
    <x v="1"/>
    <n v="10"/>
    <x v="1"/>
    <x v="1"/>
    <x v="1"/>
    <s v="Yes"/>
    <n v="20"/>
    <n v="15"/>
    <n v="15"/>
  </r>
  <r>
    <n v="3323"/>
    <x v="92"/>
    <x v="1"/>
    <x v="91"/>
    <x v="0"/>
    <n v="5"/>
    <x v="0"/>
    <x v="1"/>
    <x v="1"/>
    <s v="No"/>
    <n v="0"/>
    <n v="1"/>
    <n v="4"/>
  </r>
  <r>
    <n v="3324"/>
    <x v="93"/>
    <x v="0"/>
    <x v="92"/>
    <x v="1"/>
    <n v="15"/>
    <x v="2"/>
    <x v="0"/>
    <x v="0"/>
    <s v="Yes"/>
    <n v="20"/>
    <n v="20"/>
    <n v="45"/>
  </r>
  <r>
    <n v="3325"/>
    <x v="94"/>
    <x v="2"/>
    <x v="93"/>
    <x v="0"/>
    <n v="10"/>
    <x v="2"/>
    <x v="1"/>
    <x v="1"/>
    <s v="Yes"/>
    <n v="20"/>
    <n v="15"/>
    <n v="15"/>
  </r>
  <r>
    <n v="3326"/>
    <x v="95"/>
    <x v="1"/>
    <x v="94"/>
    <x v="1"/>
    <n v="5"/>
    <x v="1"/>
    <x v="1"/>
    <x v="1"/>
    <s v="No"/>
    <n v="0"/>
    <n v="0"/>
    <n v="5"/>
  </r>
  <r>
    <n v="3327"/>
    <x v="96"/>
    <x v="0"/>
    <x v="95"/>
    <x v="0"/>
    <n v="15"/>
    <x v="0"/>
    <x v="0"/>
    <x v="0"/>
    <s v="Yes"/>
    <n v="20"/>
    <n v="7"/>
    <n v="58"/>
  </r>
  <r>
    <n v="3328"/>
    <x v="97"/>
    <x v="2"/>
    <x v="96"/>
    <x v="1"/>
    <n v="10"/>
    <x v="1"/>
    <x v="1"/>
    <x v="1"/>
    <s v="Yes"/>
    <n v="20"/>
    <n v="10"/>
    <n v="20"/>
  </r>
  <r>
    <n v="3329"/>
    <x v="98"/>
    <x v="1"/>
    <x v="97"/>
    <x v="0"/>
    <n v="5"/>
    <x v="2"/>
    <x v="1"/>
    <x v="1"/>
    <s v="No"/>
    <n v="0"/>
    <n v="1"/>
    <n v="4"/>
  </r>
  <r>
    <n v="3330"/>
    <x v="99"/>
    <x v="0"/>
    <x v="98"/>
    <x v="1"/>
    <n v="15"/>
    <x v="0"/>
    <x v="0"/>
    <x v="0"/>
    <s v="Yes"/>
    <n v="20"/>
    <n v="15"/>
    <n v="50"/>
  </r>
  <r>
    <n v="3331"/>
    <x v="100"/>
    <x v="2"/>
    <x v="99"/>
    <x v="0"/>
    <n v="10"/>
    <x v="0"/>
    <x v="1"/>
    <x v="1"/>
    <s v="Yes"/>
    <n v="20"/>
    <n v="5"/>
    <n v="25"/>
  </r>
  <r>
    <n v="3332"/>
    <x v="101"/>
    <x v="1"/>
    <x v="100"/>
    <x v="1"/>
    <n v="5"/>
    <x v="1"/>
    <x v="1"/>
    <x v="1"/>
    <s v="No"/>
    <n v="0"/>
    <n v="0"/>
    <n v="5"/>
  </r>
  <r>
    <n v="3333"/>
    <x v="102"/>
    <x v="0"/>
    <x v="101"/>
    <x v="0"/>
    <n v="15"/>
    <x v="2"/>
    <x v="0"/>
    <x v="0"/>
    <s v="Yes"/>
    <n v="20"/>
    <n v="20"/>
    <n v="45"/>
  </r>
  <r>
    <n v="3334"/>
    <x v="103"/>
    <x v="2"/>
    <x v="102"/>
    <x v="1"/>
    <n v="10"/>
    <x v="2"/>
    <x v="1"/>
    <x v="1"/>
    <s v="Yes"/>
    <n v="20"/>
    <n v="12"/>
    <n v="18"/>
  </r>
  <r>
    <n v="3335"/>
    <x v="104"/>
    <x v="1"/>
    <x v="103"/>
    <x v="0"/>
    <n v="5"/>
    <x v="0"/>
    <x v="1"/>
    <x v="1"/>
    <s v="No"/>
    <n v="0"/>
    <n v="2"/>
    <n v="3"/>
  </r>
  <r>
    <n v="3336"/>
    <x v="105"/>
    <x v="1"/>
    <x v="104"/>
    <x v="0"/>
    <n v="5"/>
    <x v="0"/>
    <x v="1"/>
    <x v="1"/>
    <s v="No"/>
    <n v="0"/>
    <n v="0"/>
    <n v="5"/>
  </r>
  <r>
    <n v="3337"/>
    <x v="106"/>
    <x v="0"/>
    <x v="105"/>
    <x v="1"/>
    <n v="15"/>
    <x v="2"/>
    <x v="0"/>
    <x v="0"/>
    <s v="Yes"/>
    <n v="20"/>
    <n v="7"/>
    <n v="58"/>
  </r>
  <r>
    <n v="3338"/>
    <x v="107"/>
    <x v="2"/>
    <x v="106"/>
    <x v="0"/>
    <n v="10"/>
    <x v="1"/>
    <x v="1"/>
    <x v="1"/>
    <s v="Yes"/>
    <n v="20"/>
    <n v="10"/>
    <n v="20"/>
  </r>
  <r>
    <n v="3339"/>
    <x v="108"/>
    <x v="1"/>
    <x v="107"/>
    <x v="1"/>
    <n v="5"/>
    <x v="2"/>
    <x v="1"/>
    <x v="1"/>
    <s v="No"/>
    <n v="0"/>
    <n v="1"/>
    <n v="4"/>
  </r>
  <r>
    <n v="3340"/>
    <x v="109"/>
    <x v="0"/>
    <x v="108"/>
    <x v="0"/>
    <n v="15"/>
    <x v="0"/>
    <x v="0"/>
    <x v="0"/>
    <s v="Yes"/>
    <n v="20"/>
    <n v="15"/>
    <n v="50"/>
  </r>
  <r>
    <n v="3341"/>
    <x v="110"/>
    <x v="2"/>
    <x v="109"/>
    <x v="1"/>
    <n v="10"/>
    <x v="0"/>
    <x v="1"/>
    <x v="1"/>
    <s v="Yes"/>
    <n v="20"/>
    <n v="5"/>
    <n v="25"/>
  </r>
  <r>
    <n v="3342"/>
    <x v="111"/>
    <x v="1"/>
    <x v="110"/>
    <x v="0"/>
    <n v="5"/>
    <x v="1"/>
    <x v="1"/>
    <x v="1"/>
    <s v="No"/>
    <n v="0"/>
    <n v="0"/>
    <n v="5"/>
  </r>
  <r>
    <n v="3343"/>
    <x v="112"/>
    <x v="0"/>
    <x v="111"/>
    <x v="1"/>
    <n v="15"/>
    <x v="2"/>
    <x v="0"/>
    <x v="0"/>
    <s v="Yes"/>
    <n v="20"/>
    <n v="20"/>
    <n v="45"/>
  </r>
  <r>
    <n v="3344"/>
    <x v="113"/>
    <x v="2"/>
    <x v="112"/>
    <x v="0"/>
    <n v="10"/>
    <x v="2"/>
    <x v="1"/>
    <x v="1"/>
    <s v="Yes"/>
    <n v="20"/>
    <n v="12"/>
    <n v="18"/>
  </r>
  <r>
    <n v="3345"/>
    <x v="114"/>
    <x v="1"/>
    <x v="113"/>
    <x v="1"/>
    <n v="5"/>
    <x v="0"/>
    <x v="1"/>
    <x v="1"/>
    <s v="No"/>
    <n v="0"/>
    <n v="2"/>
    <n v="3"/>
  </r>
  <r>
    <n v="3346"/>
    <x v="115"/>
    <x v="0"/>
    <x v="114"/>
    <x v="0"/>
    <n v="15"/>
    <x v="1"/>
    <x v="0"/>
    <x v="0"/>
    <s v="Yes"/>
    <n v="20"/>
    <n v="5"/>
    <n v="60"/>
  </r>
  <r>
    <n v="3347"/>
    <x v="116"/>
    <x v="2"/>
    <x v="115"/>
    <x v="1"/>
    <n v="10"/>
    <x v="0"/>
    <x v="1"/>
    <x v="1"/>
    <s v="Yes"/>
    <n v="20"/>
    <n v="10"/>
    <n v="20"/>
  </r>
  <r>
    <n v="3348"/>
    <x v="117"/>
    <x v="1"/>
    <x v="116"/>
    <x v="0"/>
    <n v="5"/>
    <x v="2"/>
    <x v="1"/>
    <x v="1"/>
    <s v="No"/>
    <n v="0"/>
    <n v="0"/>
    <n v="5"/>
  </r>
  <r>
    <n v="3349"/>
    <x v="93"/>
    <x v="0"/>
    <x v="117"/>
    <x v="1"/>
    <n v="15"/>
    <x v="0"/>
    <x v="0"/>
    <x v="0"/>
    <s v="Yes"/>
    <n v="20"/>
    <n v="3"/>
    <n v="62"/>
  </r>
  <r>
    <n v="3350"/>
    <x v="118"/>
    <x v="2"/>
    <x v="118"/>
    <x v="0"/>
    <n v="10"/>
    <x v="1"/>
    <x v="1"/>
    <x v="1"/>
    <s v="Yes"/>
    <n v="20"/>
    <n v="15"/>
    <n v="15"/>
  </r>
  <r>
    <n v="3351"/>
    <x v="119"/>
    <x v="1"/>
    <x v="119"/>
    <x v="1"/>
    <n v="5"/>
    <x v="0"/>
    <x v="1"/>
    <x v="1"/>
    <s v="No"/>
    <n v="0"/>
    <n v="1"/>
    <n v="4"/>
  </r>
  <r>
    <n v="3352"/>
    <x v="120"/>
    <x v="0"/>
    <x v="120"/>
    <x v="0"/>
    <n v="15"/>
    <x v="2"/>
    <x v="0"/>
    <x v="0"/>
    <s v="Yes"/>
    <n v="20"/>
    <n v="7"/>
    <n v="58"/>
  </r>
  <r>
    <n v="3353"/>
    <x v="121"/>
    <x v="2"/>
    <x v="121"/>
    <x v="1"/>
    <n v="10"/>
    <x v="0"/>
    <x v="1"/>
    <x v="1"/>
    <s v="Yes"/>
    <n v="20"/>
    <n v="10"/>
    <n v="20"/>
  </r>
  <r>
    <n v="3354"/>
    <x v="122"/>
    <x v="1"/>
    <x v="122"/>
    <x v="0"/>
    <n v="5"/>
    <x v="1"/>
    <x v="1"/>
    <x v="1"/>
    <s v="No"/>
    <n v="0"/>
    <n v="0"/>
    <n v="5"/>
  </r>
  <r>
    <n v="3355"/>
    <x v="123"/>
    <x v="0"/>
    <x v="123"/>
    <x v="1"/>
    <n v="15"/>
    <x v="0"/>
    <x v="0"/>
    <x v="0"/>
    <s v="Yes"/>
    <n v="20"/>
    <n v="20"/>
    <n v="45"/>
  </r>
  <r>
    <n v="3356"/>
    <x v="124"/>
    <x v="2"/>
    <x v="124"/>
    <x v="0"/>
    <n v="10"/>
    <x v="2"/>
    <x v="1"/>
    <x v="1"/>
    <s v="Yes"/>
    <n v="20"/>
    <n v="15"/>
    <n v="15"/>
  </r>
  <r>
    <n v="3357"/>
    <x v="125"/>
    <x v="1"/>
    <x v="125"/>
    <x v="1"/>
    <n v="5"/>
    <x v="0"/>
    <x v="1"/>
    <x v="1"/>
    <s v="No"/>
    <n v="0"/>
    <n v="1"/>
    <n v="4"/>
  </r>
  <r>
    <n v="3358"/>
    <x v="126"/>
    <x v="0"/>
    <x v="126"/>
    <x v="0"/>
    <n v="15"/>
    <x v="1"/>
    <x v="0"/>
    <x v="0"/>
    <s v="Yes"/>
    <n v="20"/>
    <n v="3"/>
    <n v="62"/>
  </r>
  <r>
    <n v="3359"/>
    <x v="127"/>
    <x v="2"/>
    <x v="127"/>
    <x v="1"/>
    <n v="10"/>
    <x v="0"/>
    <x v="1"/>
    <x v="1"/>
    <s v="Yes"/>
    <n v="20"/>
    <n v="10"/>
    <n v="20"/>
  </r>
  <r>
    <n v="3360"/>
    <x v="128"/>
    <x v="1"/>
    <x v="128"/>
    <x v="0"/>
    <n v="5"/>
    <x v="2"/>
    <x v="1"/>
    <x v="1"/>
    <s v="No"/>
    <n v="0"/>
    <n v="0"/>
    <n v="5"/>
  </r>
  <r>
    <n v="3361"/>
    <x v="129"/>
    <x v="0"/>
    <x v="129"/>
    <x v="1"/>
    <n v="15"/>
    <x v="0"/>
    <x v="0"/>
    <x v="0"/>
    <s v="Yes"/>
    <n v="20"/>
    <n v="15"/>
    <n v="50"/>
  </r>
  <r>
    <n v="3362"/>
    <x v="130"/>
    <x v="2"/>
    <x v="130"/>
    <x v="0"/>
    <n v="10"/>
    <x v="1"/>
    <x v="1"/>
    <x v="1"/>
    <s v="Yes"/>
    <n v="20"/>
    <n v="15"/>
    <n v="15"/>
  </r>
  <r>
    <n v="3363"/>
    <x v="131"/>
    <x v="1"/>
    <x v="131"/>
    <x v="1"/>
    <n v="5"/>
    <x v="0"/>
    <x v="1"/>
    <x v="1"/>
    <s v="No"/>
    <n v="0"/>
    <n v="1"/>
    <n v="4"/>
  </r>
  <r>
    <n v="3364"/>
    <x v="132"/>
    <x v="0"/>
    <x v="132"/>
    <x v="0"/>
    <n v="15"/>
    <x v="2"/>
    <x v="0"/>
    <x v="0"/>
    <s v="Yes"/>
    <n v="20"/>
    <n v="7"/>
    <n v="58"/>
  </r>
  <r>
    <n v="3365"/>
    <x v="133"/>
    <x v="2"/>
    <x v="133"/>
    <x v="1"/>
    <n v="10"/>
    <x v="0"/>
    <x v="1"/>
    <x v="1"/>
    <s v="Yes"/>
    <n v="20"/>
    <n v="10"/>
    <n v="20"/>
  </r>
  <r>
    <n v="3366"/>
    <x v="134"/>
    <x v="1"/>
    <x v="134"/>
    <x v="0"/>
    <n v="5"/>
    <x v="0"/>
    <x v="1"/>
    <x v="1"/>
    <s v="No"/>
    <n v="0"/>
    <n v="0"/>
    <n v="5"/>
  </r>
  <r>
    <n v="3367"/>
    <x v="135"/>
    <x v="0"/>
    <x v="135"/>
    <x v="1"/>
    <n v="15"/>
    <x v="2"/>
    <x v="0"/>
    <x v="0"/>
    <s v="Yes"/>
    <n v="20"/>
    <n v="7"/>
    <n v="58"/>
  </r>
  <r>
    <n v="3368"/>
    <x v="136"/>
    <x v="2"/>
    <x v="136"/>
    <x v="0"/>
    <n v="10"/>
    <x v="1"/>
    <x v="1"/>
    <x v="1"/>
    <s v="Yes"/>
    <n v="20"/>
    <n v="10"/>
    <n v="20"/>
  </r>
  <r>
    <n v="3369"/>
    <x v="137"/>
    <x v="1"/>
    <x v="137"/>
    <x v="1"/>
    <n v="5"/>
    <x v="2"/>
    <x v="1"/>
    <x v="1"/>
    <s v="No"/>
    <n v="0"/>
    <n v="1"/>
    <n v="4"/>
  </r>
  <r>
    <n v="3370"/>
    <x v="138"/>
    <x v="0"/>
    <x v="138"/>
    <x v="0"/>
    <n v="15"/>
    <x v="0"/>
    <x v="0"/>
    <x v="0"/>
    <s v="Yes"/>
    <n v="20"/>
    <n v="15"/>
    <n v="50"/>
  </r>
  <r>
    <n v="3371"/>
    <x v="139"/>
    <x v="2"/>
    <x v="139"/>
    <x v="1"/>
    <n v="10"/>
    <x v="0"/>
    <x v="1"/>
    <x v="1"/>
    <s v="Yes"/>
    <n v="20"/>
    <n v="5"/>
    <n v="25"/>
  </r>
  <r>
    <n v="3372"/>
    <x v="140"/>
    <x v="1"/>
    <x v="140"/>
    <x v="0"/>
    <n v="5"/>
    <x v="1"/>
    <x v="1"/>
    <x v="1"/>
    <s v="No"/>
    <n v="0"/>
    <n v="0"/>
    <n v="5"/>
  </r>
  <r>
    <n v="3373"/>
    <x v="141"/>
    <x v="0"/>
    <x v="141"/>
    <x v="1"/>
    <n v="15"/>
    <x v="2"/>
    <x v="0"/>
    <x v="0"/>
    <s v="Yes"/>
    <n v="20"/>
    <n v="20"/>
    <n v="45"/>
  </r>
  <r>
    <n v="3374"/>
    <x v="142"/>
    <x v="2"/>
    <x v="142"/>
    <x v="0"/>
    <n v="10"/>
    <x v="2"/>
    <x v="1"/>
    <x v="1"/>
    <s v="Yes"/>
    <n v="20"/>
    <n v="12"/>
    <n v="18"/>
  </r>
  <r>
    <n v="3375"/>
    <x v="143"/>
    <x v="1"/>
    <x v="143"/>
    <x v="1"/>
    <n v="5"/>
    <x v="0"/>
    <x v="1"/>
    <x v="1"/>
    <s v="No"/>
    <n v="0"/>
    <n v="2"/>
    <n v="3"/>
  </r>
  <r>
    <n v="3376"/>
    <x v="144"/>
    <x v="0"/>
    <x v="144"/>
    <x v="0"/>
    <n v="15"/>
    <x v="1"/>
    <x v="0"/>
    <x v="0"/>
    <s v="Yes"/>
    <n v="20"/>
    <n v="5"/>
    <n v="60"/>
  </r>
  <r>
    <n v="3377"/>
    <x v="145"/>
    <x v="2"/>
    <x v="145"/>
    <x v="1"/>
    <n v="10"/>
    <x v="0"/>
    <x v="1"/>
    <x v="1"/>
    <s v="Yes"/>
    <n v="20"/>
    <n v="10"/>
    <n v="20"/>
  </r>
  <r>
    <n v="3378"/>
    <x v="146"/>
    <x v="1"/>
    <x v="146"/>
    <x v="0"/>
    <n v="5"/>
    <x v="2"/>
    <x v="1"/>
    <x v="1"/>
    <s v="No"/>
    <n v="0"/>
    <n v="0"/>
    <n v="5"/>
  </r>
  <r>
    <n v="3379"/>
    <x v="147"/>
    <x v="0"/>
    <x v="147"/>
    <x v="1"/>
    <n v="15"/>
    <x v="0"/>
    <x v="0"/>
    <x v="0"/>
    <s v="Yes"/>
    <n v="20"/>
    <n v="3"/>
    <n v="62"/>
  </r>
  <r>
    <n v="3380"/>
    <x v="148"/>
    <x v="2"/>
    <x v="148"/>
    <x v="0"/>
    <n v="10"/>
    <x v="1"/>
    <x v="1"/>
    <x v="1"/>
    <s v="Yes"/>
    <n v="20"/>
    <n v="15"/>
    <n v="15"/>
  </r>
  <r>
    <n v="3381"/>
    <x v="149"/>
    <x v="1"/>
    <x v="149"/>
    <x v="1"/>
    <n v="5"/>
    <x v="0"/>
    <x v="1"/>
    <x v="1"/>
    <s v="No"/>
    <n v="0"/>
    <n v="1"/>
    <n v="4"/>
  </r>
  <r>
    <n v="3382"/>
    <x v="150"/>
    <x v="0"/>
    <x v="150"/>
    <x v="0"/>
    <n v="15"/>
    <x v="2"/>
    <x v="0"/>
    <x v="0"/>
    <s v="Yes"/>
    <n v="20"/>
    <n v="7"/>
    <n v="58"/>
  </r>
  <r>
    <n v="3383"/>
    <x v="151"/>
    <x v="2"/>
    <x v="151"/>
    <x v="1"/>
    <n v="10"/>
    <x v="0"/>
    <x v="1"/>
    <x v="1"/>
    <s v="Yes"/>
    <n v="20"/>
    <n v="10"/>
    <n v="20"/>
  </r>
  <r>
    <n v="3384"/>
    <x v="152"/>
    <x v="1"/>
    <x v="152"/>
    <x v="0"/>
    <n v="5"/>
    <x v="1"/>
    <x v="1"/>
    <x v="1"/>
    <s v="No"/>
    <n v="0"/>
    <n v="0"/>
    <n v="5"/>
  </r>
  <r>
    <n v="3385"/>
    <x v="153"/>
    <x v="0"/>
    <x v="153"/>
    <x v="1"/>
    <n v="15"/>
    <x v="0"/>
    <x v="0"/>
    <x v="0"/>
    <s v="Yes"/>
    <n v="20"/>
    <n v="20"/>
    <n v="45"/>
  </r>
  <r>
    <n v="3386"/>
    <x v="154"/>
    <x v="2"/>
    <x v="154"/>
    <x v="0"/>
    <n v="10"/>
    <x v="2"/>
    <x v="1"/>
    <x v="1"/>
    <s v="Yes"/>
    <n v="20"/>
    <n v="15"/>
    <n v="15"/>
  </r>
  <r>
    <n v="3387"/>
    <x v="155"/>
    <x v="1"/>
    <x v="155"/>
    <x v="1"/>
    <n v="5"/>
    <x v="0"/>
    <x v="1"/>
    <x v="1"/>
    <s v="No"/>
    <n v="0"/>
    <n v="1"/>
    <n v="4"/>
  </r>
  <r>
    <n v="3388"/>
    <x v="156"/>
    <x v="0"/>
    <x v="156"/>
    <x v="0"/>
    <n v="15"/>
    <x v="1"/>
    <x v="0"/>
    <x v="0"/>
    <s v="Yes"/>
    <n v="20"/>
    <n v="3"/>
    <n v="62"/>
  </r>
  <r>
    <n v="3389"/>
    <x v="157"/>
    <x v="2"/>
    <x v="157"/>
    <x v="1"/>
    <n v="10"/>
    <x v="0"/>
    <x v="1"/>
    <x v="1"/>
    <s v="Yes"/>
    <n v="20"/>
    <n v="10"/>
    <n v="20"/>
  </r>
  <r>
    <n v="3390"/>
    <x v="158"/>
    <x v="1"/>
    <x v="158"/>
    <x v="0"/>
    <n v="5"/>
    <x v="2"/>
    <x v="1"/>
    <x v="1"/>
    <s v="No"/>
    <n v="0"/>
    <n v="0"/>
    <n v="5"/>
  </r>
  <r>
    <n v="3391"/>
    <x v="58"/>
    <x v="0"/>
    <x v="159"/>
    <x v="1"/>
    <n v="15"/>
    <x v="0"/>
    <x v="0"/>
    <x v="0"/>
    <s v="Yes"/>
    <n v="20"/>
    <n v="15"/>
    <n v="50"/>
  </r>
  <r>
    <n v="3392"/>
    <x v="159"/>
    <x v="2"/>
    <x v="160"/>
    <x v="0"/>
    <n v="10"/>
    <x v="1"/>
    <x v="1"/>
    <x v="1"/>
    <s v="Yes"/>
    <n v="20"/>
    <n v="15"/>
    <n v="15"/>
  </r>
  <r>
    <n v="3393"/>
    <x v="160"/>
    <x v="1"/>
    <x v="161"/>
    <x v="1"/>
    <n v="5"/>
    <x v="0"/>
    <x v="1"/>
    <x v="1"/>
    <s v="No"/>
    <n v="0"/>
    <n v="1"/>
    <n v="4"/>
  </r>
  <r>
    <n v="3394"/>
    <x v="161"/>
    <x v="0"/>
    <x v="162"/>
    <x v="0"/>
    <n v="15"/>
    <x v="2"/>
    <x v="0"/>
    <x v="0"/>
    <s v="Yes"/>
    <n v="20"/>
    <n v="7"/>
    <n v="58"/>
  </r>
  <r>
    <n v="3395"/>
    <x v="162"/>
    <x v="2"/>
    <x v="163"/>
    <x v="1"/>
    <n v="10"/>
    <x v="0"/>
    <x v="1"/>
    <x v="1"/>
    <s v="Yes"/>
    <n v="20"/>
    <n v="10"/>
    <n v="20"/>
  </r>
  <r>
    <n v="3396"/>
    <x v="163"/>
    <x v="1"/>
    <x v="164"/>
    <x v="0"/>
    <n v="5"/>
    <x v="1"/>
    <x v="1"/>
    <x v="1"/>
    <s v="No"/>
    <n v="0"/>
    <n v="0"/>
    <n v="5"/>
  </r>
  <r>
    <n v="3397"/>
    <x v="90"/>
    <x v="0"/>
    <x v="165"/>
    <x v="1"/>
    <n v="15"/>
    <x v="0"/>
    <x v="0"/>
    <x v="0"/>
    <s v="Yes"/>
    <n v="20"/>
    <n v="20"/>
    <n v="45"/>
  </r>
  <r>
    <n v="3398"/>
    <x v="164"/>
    <x v="2"/>
    <x v="166"/>
    <x v="0"/>
    <n v="10"/>
    <x v="2"/>
    <x v="1"/>
    <x v="1"/>
    <s v="Yes"/>
    <n v="20"/>
    <n v="15"/>
    <n v="15"/>
  </r>
  <r>
    <n v="3399"/>
    <x v="165"/>
    <x v="1"/>
    <x v="167"/>
    <x v="1"/>
    <n v="5"/>
    <x v="0"/>
    <x v="1"/>
    <x v="1"/>
    <s v="No"/>
    <n v="0"/>
    <n v="1"/>
    <n v="4"/>
  </r>
  <r>
    <n v="3400"/>
    <x v="166"/>
    <x v="0"/>
    <x v="168"/>
    <x v="0"/>
    <n v="15"/>
    <x v="1"/>
    <x v="0"/>
    <x v="0"/>
    <s v="Yes"/>
    <n v="20"/>
    <n v="5"/>
    <n v="60"/>
  </r>
  <r>
    <n v="3401"/>
    <x v="167"/>
    <x v="2"/>
    <x v="169"/>
    <x v="1"/>
    <n v="10"/>
    <x v="0"/>
    <x v="1"/>
    <x v="1"/>
    <s v="Yes"/>
    <n v="20"/>
    <n v="10"/>
    <n v="20"/>
  </r>
  <r>
    <n v="3402"/>
    <x v="168"/>
    <x v="1"/>
    <x v="170"/>
    <x v="0"/>
    <n v="5"/>
    <x v="2"/>
    <x v="1"/>
    <x v="1"/>
    <s v="No"/>
    <n v="0"/>
    <n v="0"/>
    <n v="5"/>
  </r>
  <r>
    <n v="3403"/>
    <x v="169"/>
    <x v="0"/>
    <x v="171"/>
    <x v="1"/>
    <n v="15"/>
    <x v="0"/>
    <x v="0"/>
    <x v="0"/>
    <s v="Yes"/>
    <n v="20"/>
    <n v="3"/>
    <n v="62"/>
  </r>
  <r>
    <n v="3404"/>
    <x v="170"/>
    <x v="2"/>
    <x v="172"/>
    <x v="0"/>
    <n v="10"/>
    <x v="1"/>
    <x v="1"/>
    <x v="1"/>
    <s v="Yes"/>
    <n v="20"/>
    <n v="15"/>
    <n v="15"/>
  </r>
  <r>
    <n v="3405"/>
    <x v="171"/>
    <x v="1"/>
    <x v="173"/>
    <x v="1"/>
    <n v="5"/>
    <x v="0"/>
    <x v="1"/>
    <x v="1"/>
    <s v="No"/>
    <n v="0"/>
    <n v="1"/>
    <n v="4"/>
  </r>
  <r>
    <n v="3406"/>
    <x v="172"/>
    <x v="1"/>
    <x v="174"/>
    <x v="0"/>
    <n v="5"/>
    <x v="0"/>
    <x v="1"/>
    <x v="1"/>
    <s v="No"/>
    <n v="0"/>
    <n v="0"/>
    <n v="5"/>
  </r>
  <r>
    <n v="3407"/>
    <x v="173"/>
    <x v="0"/>
    <x v="175"/>
    <x v="1"/>
    <n v="15"/>
    <x v="2"/>
    <x v="0"/>
    <x v="0"/>
    <s v="Yes"/>
    <n v="20"/>
    <n v="7"/>
    <n v="58"/>
  </r>
  <r>
    <n v="3408"/>
    <x v="174"/>
    <x v="2"/>
    <x v="176"/>
    <x v="0"/>
    <n v="10"/>
    <x v="1"/>
    <x v="1"/>
    <x v="1"/>
    <s v="Yes"/>
    <n v="20"/>
    <n v="10"/>
    <n v="20"/>
  </r>
  <r>
    <n v="3409"/>
    <x v="175"/>
    <x v="1"/>
    <x v="177"/>
    <x v="1"/>
    <n v="5"/>
    <x v="2"/>
    <x v="1"/>
    <x v="1"/>
    <s v="No"/>
    <n v="0"/>
    <n v="1"/>
    <n v="4"/>
  </r>
  <r>
    <n v="3410"/>
    <x v="176"/>
    <x v="0"/>
    <x v="178"/>
    <x v="0"/>
    <n v="15"/>
    <x v="0"/>
    <x v="0"/>
    <x v="0"/>
    <s v="Yes"/>
    <n v="20"/>
    <n v="15"/>
    <n v="50"/>
  </r>
  <r>
    <n v="3411"/>
    <x v="177"/>
    <x v="2"/>
    <x v="179"/>
    <x v="1"/>
    <n v="10"/>
    <x v="0"/>
    <x v="1"/>
    <x v="1"/>
    <s v="Yes"/>
    <n v="20"/>
    <n v="5"/>
    <n v="25"/>
  </r>
  <r>
    <n v="3412"/>
    <x v="178"/>
    <x v="1"/>
    <x v="180"/>
    <x v="0"/>
    <n v="5"/>
    <x v="1"/>
    <x v="1"/>
    <x v="1"/>
    <s v="No"/>
    <n v="0"/>
    <n v="0"/>
    <n v="5"/>
  </r>
  <r>
    <n v="3413"/>
    <x v="179"/>
    <x v="0"/>
    <x v="181"/>
    <x v="1"/>
    <n v="15"/>
    <x v="2"/>
    <x v="0"/>
    <x v="0"/>
    <s v="Yes"/>
    <n v="20"/>
    <n v="20"/>
    <n v="45"/>
  </r>
  <r>
    <n v="3414"/>
    <x v="180"/>
    <x v="2"/>
    <x v="182"/>
    <x v="0"/>
    <n v="10"/>
    <x v="2"/>
    <x v="1"/>
    <x v="1"/>
    <s v="Yes"/>
    <n v="20"/>
    <n v="12"/>
    <n v="18"/>
  </r>
  <r>
    <n v="3415"/>
    <x v="181"/>
    <x v="1"/>
    <x v="183"/>
    <x v="1"/>
    <n v="5"/>
    <x v="0"/>
    <x v="1"/>
    <x v="1"/>
    <s v="No"/>
    <n v="0"/>
    <n v="2"/>
    <n v="3"/>
  </r>
  <r>
    <n v="3416"/>
    <x v="182"/>
    <x v="0"/>
    <x v="184"/>
    <x v="0"/>
    <n v="15"/>
    <x v="1"/>
    <x v="0"/>
    <x v="0"/>
    <s v="Yes"/>
    <n v="20"/>
    <n v="5"/>
    <n v="60"/>
  </r>
  <r>
    <n v="3417"/>
    <x v="183"/>
    <x v="2"/>
    <x v="185"/>
    <x v="1"/>
    <n v="10"/>
    <x v="0"/>
    <x v="1"/>
    <x v="1"/>
    <s v="Yes"/>
    <n v="20"/>
    <n v="10"/>
    <n v="20"/>
  </r>
  <r>
    <n v="3418"/>
    <x v="184"/>
    <x v="1"/>
    <x v="186"/>
    <x v="0"/>
    <n v="5"/>
    <x v="2"/>
    <x v="1"/>
    <x v="1"/>
    <s v="No"/>
    <n v="0"/>
    <n v="0"/>
    <n v="5"/>
  </r>
  <r>
    <n v="3419"/>
    <x v="185"/>
    <x v="0"/>
    <x v="187"/>
    <x v="1"/>
    <n v="15"/>
    <x v="0"/>
    <x v="0"/>
    <x v="0"/>
    <s v="Yes"/>
    <n v="20"/>
    <n v="3"/>
    <n v="62"/>
  </r>
  <r>
    <n v="3420"/>
    <x v="186"/>
    <x v="2"/>
    <x v="188"/>
    <x v="0"/>
    <n v="10"/>
    <x v="1"/>
    <x v="1"/>
    <x v="1"/>
    <s v="Yes"/>
    <n v="20"/>
    <n v="15"/>
    <n v="15"/>
  </r>
  <r>
    <n v="3421"/>
    <x v="15"/>
    <x v="1"/>
    <x v="189"/>
    <x v="1"/>
    <n v="5"/>
    <x v="0"/>
    <x v="1"/>
    <x v="1"/>
    <s v="No"/>
    <n v="0"/>
    <n v="1"/>
    <n v="4"/>
  </r>
  <r>
    <n v="3422"/>
    <x v="187"/>
    <x v="0"/>
    <x v="190"/>
    <x v="0"/>
    <n v="15"/>
    <x v="2"/>
    <x v="0"/>
    <x v="0"/>
    <s v="Yes"/>
    <n v="20"/>
    <n v="7"/>
    <n v="58"/>
  </r>
  <r>
    <n v="3423"/>
    <x v="188"/>
    <x v="2"/>
    <x v="191"/>
    <x v="1"/>
    <n v="10"/>
    <x v="0"/>
    <x v="1"/>
    <x v="1"/>
    <s v="Yes"/>
    <n v="20"/>
    <n v="10"/>
    <n v="20"/>
  </r>
  <r>
    <n v="3424"/>
    <x v="14"/>
    <x v="1"/>
    <x v="192"/>
    <x v="0"/>
    <n v="5"/>
    <x v="1"/>
    <x v="1"/>
    <x v="1"/>
    <s v="No"/>
    <n v="0"/>
    <n v="0"/>
    <n v="5"/>
  </r>
  <r>
    <n v="3425"/>
    <x v="189"/>
    <x v="0"/>
    <x v="193"/>
    <x v="1"/>
    <n v="15"/>
    <x v="0"/>
    <x v="0"/>
    <x v="0"/>
    <s v="Yes"/>
    <n v="20"/>
    <n v="20"/>
    <n v="45"/>
  </r>
  <r>
    <n v="3426"/>
    <x v="167"/>
    <x v="2"/>
    <x v="194"/>
    <x v="0"/>
    <n v="10"/>
    <x v="2"/>
    <x v="1"/>
    <x v="1"/>
    <s v="Yes"/>
    <n v="20"/>
    <n v="15"/>
    <n v="15"/>
  </r>
  <r>
    <n v="3427"/>
    <x v="190"/>
    <x v="1"/>
    <x v="195"/>
    <x v="1"/>
    <n v="5"/>
    <x v="0"/>
    <x v="1"/>
    <x v="1"/>
    <s v="No"/>
    <n v="0"/>
    <n v="1"/>
    <n v="4"/>
  </r>
  <r>
    <n v="3428"/>
    <x v="191"/>
    <x v="0"/>
    <x v="196"/>
    <x v="0"/>
    <n v="15"/>
    <x v="1"/>
    <x v="0"/>
    <x v="0"/>
    <s v="Yes"/>
    <n v="20"/>
    <n v="3"/>
    <n v="62"/>
  </r>
  <r>
    <n v="3429"/>
    <x v="192"/>
    <x v="2"/>
    <x v="197"/>
    <x v="1"/>
    <n v="10"/>
    <x v="0"/>
    <x v="1"/>
    <x v="1"/>
    <s v="Yes"/>
    <n v="20"/>
    <n v="10"/>
    <n v="20"/>
  </r>
  <r>
    <n v="3430"/>
    <x v="193"/>
    <x v="1"/>
    <x v="198"/>
    <x v="0"/>
    <n v="5"/>
    <x v="2"/>
    <x v="1"/>
    <x v="1"/>
    <s v="No"/>
    <n v="0"/>
    <n v="0"/>
    <n v="5"/>
  </r>
  <r>
    <n v="3431"/>
    <x v="194"/>
    <x v="0"/>
    <x v="199"/>
    <x v="1"/>
    <n v="15"/>
    <x v="0"/>
    <x v="0"/>
    <x v="0"/>
    <s v="Yes"/>
    <n v="20"/>
    <n v="15"/>
    <n v="50"/>
  </r>
  <r>
    <n v="3432"/>
    <x v="195"/>
    <x v="2"/>
    <x v="200"/>
    <x v="0"/>
    <n v="10"/>
    <x v="1"/>
    <x v="1"/>
    <x v="1"/>
    <s v="Yes"/>
    <n v="20"/>
    <n v="15"/>
    <n v="15"/>
  </r>
  <r>
    <n v="3433"/>
    <x v="196"/>
    <x v="1"/>
    <x v="201"/>
    <x v="1"/>
    <n v="5"/>
    <x v="0"/>
    <x v="1"/>
    <x v="1"/>
    <s v="No"/>
    <n v="0"/>
    <n v="1"/>
    <n v="4"/>
  </r>
  <r>
    <n v="3434"/>
    <x v="197"/>
    <x v="0"/>
    <x v="202"/>
    <x v="0"/>
    <n v="15"/>
    <x v="2"/>
    <x v="0"/>
    <x v="0"/>
    <s v="Yes"/>
    <n v="20"/>
    <n v="7"/>
    <n v="58"/>
  </r>
  <r>
    <n v="3435"/>
    <x v="198"/>
    <x v="2"/>
    <x v="203"/>
    <x v="1"/>
    <n v="10"/>
    <x v="0"/>
    <x v="1"/>
    <x v="1"/>
    <s v="Yes"/>
    <n v="20"/>
    <n v="10"/>
    <n v="20"/>
  </r>
  <r>
    <n v="3436"/>
    <x v="199"/>
    <x v="1"/>
    <x v="204"/>
    <x v="0"/>
    <n v="5"/>
    <x v="0"/>
    <x v="1"/>
    <x v="1"/>
    <s v="No"/>
    <n v="0"/>
    <n v="0"/>
    <n v="5"/>
  </r>
  <r>
    <n v="3437"/>
    <x v="200"/>
    <x v="0"/>
    <x v="205"/>
    <x v="1"/>
    <n v="15"/>
    <x v="2"/>
    <x v="0"/>
    <x v="0"/>
    <s v="Yes"/>
    <n v="20"/>
    <n v="7"/>
    <n v="58"/>
  </r>
  <r>
    <n v="3438"/>
    <x v="201"/>
    <x v="2"/>
    <x v="206"/>
    <x v="0"/>
    <n v="10"/>
    <x v="1"/>
    <x v="1"/>
    <x v="1"/>
    <s v="Yes"/>
    <n v="20"/>
    <n v="10"/>
    <n v="20"/>
  </r>
  <r>
    <n v="3439"/>
    <x v="202"/>
    <x v="1"/>
    <x v="207"/>
    <x v="1"/>
    <n v="5"/>
    <x v="2"/>
    <x v="1"/>
    <x v="1"/>
    <s v="No"/>
    <n v="0"/>
    <n v="1"/>
    <n v="4"/>
  </r>
  <r>
    <n v="3440"/>
    <x v="203"/>
    <x v="0"/>
    <x v="208"/>
    <x v="0"/>
    <n v="15"/>
    <x v="0"/>
    <x v="0"/>
    <x v="0"/>
    <s v="Yes"/>
    <n v="20"/>
    <n v="15"/>
    <n v="50"/>
  </r>
  <r>
    <n v="3441"/>
    <x v="204"/>
    <x v="2"/>
    <x v="209"/>
    <x v="1"/>
    <n v="10"/>
    <x v="0"/>
    <x v="1"/>
    <x v="1"/>
    <s v="Yes"/>
    <n v="20"/>
    <n v="5"/>
    <n v="25"/>
  </r>
  <r>
    <n v="3442"/>
    <x v="205"/>
    <x v="1"/>
    <x v="210"/>
    <x v="0"/>
    <n v="5"/>
    <x v="1"/>
    <x v="1"/>
    <x v="1"/>
    <s v="No"/>
    <n v="0"/>
    <n v="0"/>
    <n v="5"/>
  </r>
  <r>
    <n v="3443"/>
    <x v="206"/>
    <x v="0"/>
    <x v="211"/>
    <x v="1"/>
    <n v="15"/>
    <x v="2"/>
    <x v="0"/>
    <x v="0"/>
    <s v="Yes"/>
    <n v="20"/>
    <n v="20"/>
    <n v="45"/>
  </r>
  <r>
    <n v="3444"/>
    <x v="207"/>
    <x v="2"/>
    <x v="212"/>
    <x v="0"/>
    <n v="10"/>
    <x v="2"/>
    <x v="1"/>
    <x v="1"/>
    <s v="Yes"/>
    <n v="20"/>
    <n v="12"/>
    <n v="18"/>
  </r>
  <r>
    <n v="3445"/>
    <x v="37"/>
    <x v="1"/>
    <x v="213"/>
    <x v="1"/>
    <n v="5"/>
    <x v="0"/>
    <x v="1"/>
    <x v="1"/>
    <s v="No"/>
    <n v="0"/>
    <n v="2"/>
    <n v="3"/>
  </r>
  <r>
    <n v="3446"/>
    <x v="208"/>
    <x v="0"/>
    <x v="214"/>
    <x v="0"/>
    <n v="15"/>
    <x v="1"/>
    <x v="0"/>
    <x v="0"/>
    <s v="Yes"/>
    <n v="20"/>
    <n v="5"/>
    <n v="60"/>
  </r>
  <r>
    <n v="3447"/>
    <x v="209"/>
    <x v="2"/>
    <x v="215"/>
    <x v="1"/>
    <n v="10"/>
    <x v="0"/>
    <x v="1"/>
    <x v="1"/>
    <s v="Yes"/>
    <n v="20"/>
    <n v="10"/>
    <n v="20"/>
  </r>
  <r>
    <n v="3448"/>
    <x v="210"/>
    <x v="1"/>
    <x v="216"/>
    <x v="0"/>
    <n v="5"/>
    <x v="2"/>
    <x v="1"/>
    <x v="1"/>
    <s v="No"/>
    <n v="0"/>
    <n v="0"/>
    <n v="5"/>
  </r>
  <r>
    <n v="3449"/>
    <x v="211"/>
    <x v="0"/>
    <x v="217"/>
    <x v="1"/>
    <n v="15"/>
    <x v="0"/>
    <x v="0"/>
    <x v="0"/>
    <s v="Yes"/>
    <n v="20"/>
    <n v="3"/>
    <n v="62"/>
  </r>
  <r>
    <n v="3450"/>
    <x v="212"/>
    <x v="2"/>
    <x v="218"/>
    <x v="0"/>
    <n v="10"/>
    <x v="1"/>
    <x v="1"/>
    <x v="1"/>
    <s v="Yes"/>
    <n v="20"/>
    <n v="15"/>
    <n v="15"/>
  </r>
  <r>
    <n v="3451"/>
    <x v="213"/>
    <x v="1"/>
    <x v="219"/>
    <x v="1"/>
    <n v="5"/>
    <x v="0"/>
    <x v="1"/>
    <x v="1"/>
    <s v="No"/>
    <n v="0"/>
    <n v="1"/>
    <n v="4"/>
  </r>
  <r>
    <n v="3452"/>
    <x v="191"/>
    <x v="0"/>
    <x v="220"/>
    <x v="0"/>
    <n v="15"/>
    <x v="2"/>
    <x v="0"/>
    <x v="0"/>
    <s v="Yes"/>
    <n v="20"/>
    <n v="7"/>
    <n v="58"/>
  </r>
  <r>
    <n v="3453"/>
    <x v="45"/>
    <x v="2"/>
    <x v="221"/>
    <x v="1"/>
    <n v="10"/>
    <x v="0"/>
    <x v="1"/>
    <x v="1"/>
    <s v="Yes"/>
    <n v="20"/>
    <n v="10"/>
    <n v="20"/>
  </r>
  <r>
    <n v="3454"/>
    <x v="214"/>
    <x v="1"/>
    <x v="222"/>
    <x v="0"/>
    <n v="5"/>
    <x v="1"/>
    <x v="1"/>
    <x v="1"/>
    <s v="No"/>
    <n v="0"/>
    <n v="0"/>
    <n v="5"/>
  </r>
  <r>
    <n v="3455"/>
    <x v="215"/>
    <x v="0"/>
    <x v="223"/>
    <x v="1"/>
    <n v="15"/>
    <x v="0"/>
    <x v="0"/>
    <x v="0"/>
    <s v="Yes"/>
    <n v="20"/>
    <n v="20"/>
    <n v="45"/>
  </r>
  <r>
    <n v="3456"/>
    <x v="216"/>
    <x v="2"/>
    <x v="224"/>
    <x v="0"/>
    <n v="10"/>
    <x v="2"/>
    <x v="1"/>
    <x v="1"/>
    <s v="Yes"/>
    <n v="20"/>
    <n v="15"/>
    <n v="15"/>
  </r>
  <r>
    <n v="3457"/>
    <x v="217"/>
    <x v="1"/>
    <x v="225"/>
    <x v="1"/>
    <n v="5"/>
    <x v="0"/>
    <x v="1"/>
    <x v="1"/>
    <s v="No"/>
    <n v="0"/>
    <n v="1"/>
    <n v="4"/>
  </r>
  <r>
    <n v="3458"/>
    <x v="218"/>
    <x v="0"/>
    <x v="226"/>
    <x v="0"/>
    <n v="15"/>
    <x v="1"/>
    <x v="0"/>
    <x v="0"/>
    <s v="Yes"/>
    <n v="20"/>
    <n v="3"/>
    <n v="62"/>
  </r>
  <r>
    <n v="3459"/>
    <x v="219"/>
    <x v="2"/>
    <x v="227"/>
    <x v="1"/>
    <n v="10"/>
    <x v="0"/>
    <x v="1"/>
    <x v="1"/>
    <s v="Yes"/>
    <n v="20"/>
    <n v="10"/>
    <n v="20"/>
  </r>
  <r>
    <n v="3460"/>
    <x v="127"/>
    <x v="1"/>
    <x v="228"/>
    <x v="0"/>
    <n v="5"/>
    <x v="2"/>
    <x v="1"/>
    <x v="1"/>
    <s v="No"/>
    <n v="0"/>
    <n v="0"/>
    <n v="5"/>
  </r>
  <r>
    <n v="3461"/>
    <x v="220"/>
    <x v="0"/>
    <x v="229"/>
    <x v="1"/>
    <n v="15"/>
    <x v="0"/>
    <x v="0"/>
    <x v="0"/>
    <s v="Yes"/>
    <n v="20"/>
    <n v="15"/>
    <n v="50"/>
  </r>
  <r>
    <n v="3462"/>
    <x v="221"/>
    <x v="2"/>
    <x v="230"/>
    <x v="0"/>
    <n v="10"/>
    <x v="1"/>
    <x v="1"/>
    <x v="1"/>
    <s v="Yes"/>
    <n v="20"/>
    <n v="15"/>
    <n v="15"/>
  </r>
  <r>
    <n v="3463"/>
    <x v="222"/>
    <x v="1"/>
    <x v="231"/>
    <x v="1"/>
    <n v="5"/>
    <x v="0"/>
    <x v="1"/>
    <x v="1"/>
    <s v="No"/>
    <n v="0"/>
    <n v="1"/>
    <n v="4"/>
  </r>
  <r>
    <n v="3464"/>
    <x v="223"/>
    <x v="0"/>
    <x v="232"/>
    <x v="0"/>
    <n v="15"/>
    <x v="2"/>
    <x v="0"/>
    <x v="0"/>
    <s v="Yes"/>
    <n v="20"/>
    <n v="7"/>
    <n v="58"/>
  </r>
  <r>
    <n v="3465"/>
    <x v="224"/>
    <x v="2"/>
    <x v="233"/>
    <x v="1"/>
    <n v="10"/>
    <x v="0"/>
    <x v="1"/>
    <x v="1"/>
    <s v="Yes"/>
    <n v="20"/>
    <n v="10"/>
    <n v="20"/>
  </r>
  <r>
    <n v="3466"/>
    <x v="225"/>
    <x v="1"/>
    <x v="234"/>
    <x v="0"/>
    <n v="5"/>
    <x v="1"/>
    <x v="1"/>
    <x v="1"/>
    <s v="No"/>
    <n v="0"/>
    <n v="0"/>
    <n v="5"/>
  </r>
  <r>
    <n v="3467"/>
    <x v="226"/>
    <x v="0"/>
    <x v="235"/>
    <x v="1"/>
    <n v="15"/>
    <x v="0"/>
    <x v="0"/>
    <x v="0"/>
    <s v="Yes"/>
    <n v="20"/>
    <n v="15"/>
    <n v="50"/>
  </r>
  <r>
    <n v="3468"/>
    <x v="227"/>
    <x v="2"/>
    <x v="236"/>
    <x v="0"/>
    <n v="10"/>
    <x v="2"/>
    <x v="1"/>
    <x v="1"/>
    <s v="Yes"/>
    <n v="20"/>
    <n v="12"/>
    <n v="18"/>
  </r>
  <r>
    <n v="3469"/>
    <x v="228"/>
    <x v="1"/>
    <x v="237"/>
    <x v="1"/>
    <n v="5"/>
    <x v="0"/>
    <x v="1"/>
    <x v="1"/>
    <s v="No"/>
    <n v="0"/>
    <n v="2"/>
    <n v="3"/>
  </r>
  <r>
    <n v="3470"/>
    <x v="229"/>
    <x v="0"/>
    <x v="238"/>
    <x v="0"/>
    <n v="15"/>
    <x v="1"/>
    <x v="0"/>
    <x v="0"/>
    <s v="Yes"/>
    <n v="20"/>
    <n v="5"/>
    <n v="60"/>
  </r>
  <r>
    <n v="3471"/>
    <x v="230"/>
    <x v="2"/>
    <x v="239"/>
    <x v="1"/>
    <n v="10"/>
    <x v="0"/>
    <x v="1"/>
    <x v="1"/>
    <s v="Yes"/>
    <n v="20"/>
    <n v="10"/>
    <n v="20"/>
  </r>
  <r>
    <n v="3472"/>
    <x v="231"/>
    <x v="1"/>
    <x v="240"/>
    <x v="0"/>
    <n v="5"/>
    <x v="2"/>
    <x v="1"/>
    <x v="1"/>
    <s v="No"/>
    <n v="0"/>
    <n v="0"/>
    <n v="5"/>
  </r>
  <r>
    <n v="3473"/>
    <x v="140"/>
    <x v="0"/>
    <x v="241"/>
    <x v="1"/>
    <n v="15"/>
    <x v="0"/>
    <x v="0"/>
    <x v="0"/>
    <s v="Yes"/>
    <n v="20"/>
    <n v="3"/>
    <n v="62"/>
  </r>
  <r>
    <n v="3474"/>
    <x v="232"/>
    <x v="2"/>
    <x v="242"/>
    <x v="0"/>
    <n v="10"/>
    <x v="1"/>
    <x v="1"/>
    <x v="1"/>
    <s v="Yes"/>
    <n v="20"/>
    <n v="15"/>
    <n v="15"/>
  </r>
  <r>
    <n v="3475"/>
    <x v="233"/>
    <x v="1"/>
    <x v="243"/>
    <x v="1"/>
    <n v="5"/>
    <x v="0"/>
    <x v="1"/>
    <x v="1"/>
    <s v="No"/>
    <n v="0"/>
    <n v="1"/>
    <n v="4"/>
  </r>
  <r>
    <n v="3476"/>
    <x v="234"/>
    <x v="0"/>
    <x v="244"/>
    <x v="0"/>
    <n v="15"/>
    <x v="2"/>
    <x v="0"/>
    <x v="0"/>
    <s v="Yes"/>
    <n v="20"/>
    <n v="7"/>
    <n v="58"/>
  </r>
  <r>
    <n v="3477"/>
    <x v="235"/>
    <x v="2"/>
    <x v="245"/>
    <x v="1"/>
    <n v="10"/>
    <x v="0"/>
    <x v="1"/>
    <x v="1"/>
    <s v="Yes"/>
    <n v="20"/>
    <n v="10"/>
    <n v="20"/>
  </r>
  <r>
    <n v="3478"/>
    <x v="236"/>
    <x v="1"/>
    <x v="246"/>
    <x v="0"/>
    <n v="5"/>
    <x v="1"/>
    <x v="1"/>
    <x v="1"/>
    <s v="No"/>
    <n v="0"/>
    <n v="0"/>
    <n v="5"/>
  </r>
  <r>
    <n v="3479"/>
    <x v="237"/>
    <x v="0"/>
    <x v="247"/>
    <x v="1"/>
    <n v="15"/>
    <x v="0"/>
    <x v="0"/>
    <x v="0"/>
    <s v="Yes"/>
    <n v="20"/>
    <n v="20"/>
    <n v="45"/>
  </r>
  <r>
    <n v="3480"/>
    <x v="238"/>
    <x v="2"/>
    <x v="248"/>
    <x v="0"/>
    <n v="10"/>
    <x v="2"/>
    <x v="1"/>
    <x v="1"/>
    <s v="Yes"/>
    <n v="20"/>
    <n v="15"/>
    <n v="15"/>
  </r>
  <r>
    <n v="3481"/>
    <x v="239"/>
    <x v="1"/>
    <x v="249"/>
    <x v="1"/>
    <n v="5"/>
    <x v="0"/>
    <x v="1"/>
    <x v="1"/>
    <s v="No"/>
    <n v="0"/>
    <n v="1"/>
    <n v="4"/>
  </r>
  <r>
    <n v="3482"/>
    <x v="240"/>
    <x v="0"/>
    <x v="250"/>
    <x v="0"/>
    <n v="15"/>
    <x v="1"/>
    <x v="0"/>
    <x v="0"/>
    <s v="Yes"/>
    <n v="20"/>
    <n v="3"/>
    <n v="62"/>
  </r>
  <r>
    <n v="3483"/>
    <x v="241"/>
    <x v="2"/>
    <x v="251"/>
    <x v="1"/>
    <n v="10"/>
    <x v="0"/>
    <x v="1"/>
    <x v="1"/>
    <s v="Yes"/>
    <n v="20"/>
    <n v="10"/>
    <n v="20"/>
  </r>
  <r>
    <n v="3484"/>
    <x v="242"/>
    <x v="1"/>
    <x v="252"/>
    <x v="0"/>
    <n v="5"/>
    <x v="2"/>
    <x v="1"/>
    <x v="1"/>
    <s v="No"/>
    <n v="0"/>
    <n v="0"/>
    <n v="5"/>
  </r>
  <r>
    <n v="3485"/>
    <x v="243"/>
    <x v="0"/>
    <x v="253"/>
    <x v="1"/>
    <n v="15"/>
    <x v="0"/>
    <x v="0"/>
    <x v="0"/>
    <s v="Yes"/>
    <n v="20"/>
    <n v="15"/>
    <n v="50"/>
  </r>
  <r>
    <n v="3486"/>
    <x v="244"/>
    <x v="1"/>
    <x v="254"/>
    <x v="0"/>
    <n v="5"/>
    <x v="0"/>
    <x v="1"/>
    <x v="1"/>
    <s v="No"/>
    <n v="0"/>
    <n v="0"/>
    <n v="5"/>
  </r>
  <r>
    <n v="3487"/>
    <x v="245"/>
    <x v="0"/>
    <x v="255"/>
    <x v="1"/>
    <n v="15"/>
    <x v="2"/>
    <x v="0"/>
    <x v="0"/>
    <s v="Yes"/>
    <n v="20"/>
    <n v="7"/>
    <n v="58"/>
  </r>
  <r>
    <n v="3488"/>
    <x v="246"/>
    <x v="2"/>
    <x v="256"/>
    <x v="0"/>
    <n v="10"/>
    <x v="1"/>
    <x v="1"/>
    <x v="1"/>
    <s v="Yes"/>
    <n v="20"/>
    <n v="10"/>
    <n v="20"/>
  </r>
  <r>
    <n v="3489"/>
    <x v="247"/>
    <x v="1"/>
    <x v="257"/>
    <x v="1"/>
    <n v="5"/>
    <x v="2"/>
    <x v="1"/>
    <x v="1"/>
    <s v="No"/>
    <n v="0"/>
    <n v="1"/>
    <n v="4"/>
  </r>
  <r>
    <n v="3490"/>
    <x v="248"/>
    <x v="0"/>
    <x v="258"/>
    <x v="0"/>
    <n v="15"/>
    <x v="0"/>
    <x v="0"/>
    <x v="0"/>
    <s v="Yes"/>
    <n v="20"/>
    <n v="15"/>
    <n v="50"/>
  </r>
  <r>
    <n v="3491"/>
    <x v="249"/>
    <x v="2"/>
    <x v="259"/>
    <x v="1"/>
    <n v="10"/>
    <x v="0"/>
    <x v="1"/>
    <x v="1"/>
    <s v="Yes"/>
    <n v="20"/>
    <n v="5"/>
    <n v="25"/>
  </r>
  <r>
    <n v="3492"/>
    <x v="250"/>
    <x v="1"/>
    <x v="260"/>
    <x v="0"/>
    <n v="5"/>
    <x v="1"/>
    <x v="1"/>
    <x v="1"/>
    <s v="No"/>
    <n v="0"/>
    <n v="0"/>
    <n v="5"/>
  </r>
  <r>
    <n v="3493"/>
    <x v="251"/>
    <x v="0"/>
    <x v="261"/>
    <x v="1"/>
    <n v="15"/>
    <x v="2"/>
    <x v="0"/>
    <x v="0"/>
    <s v="Yes"/>
    <n v="20"/>
    <n v="20"/>
    <n v="45"/>
  </r>
  <r>
    <n v="3494"/>
    <x v="252"/>
    <x v="2"/>
    <x v="262"/>
    <x v="0"/>
    <n v="10"/>
    <x v="2"/>
    <x v="1"/>
    <x v="1"/>
    <s v="Yes"/>
    <n v="20"/>
    <n v="12"/>
    <n v="18"/>
  </r>
  <r>
    <n v="3495"/>
    <x v="253"/>
    <x v="1"/>
    <x v="263"/>
    <x v="1"/>
    <n v="5"/>
    <x v="0"/>
    <x v="1"/>
    <x v="1"/>
    <s v="No"/>
    <n v="0"/>
    <n v="2"/>
    <n v="3"/>
  </r>
  <r>
    <n v="3496"/>
    <x v="254"/>
    <x v="0"/>
    <x v="264"/>
    <x v="0"/>
    <n v="15"/>
    <x v="1"/>
    <x v="0"/>
    <x v="0"/>
    <s v="Yes"/>
    <n v="20"/>
    <n v="5"/>
    <n v="60"/>
  </r>
  <r>
    <n v="3497"/>
    <x v="255"/>
    <x v="2"/>
    <x v="265"/>
    <x v="1"/>
    <n v="10"/>
    <x v="0"/>
    <x v="1"/>
    <x v="1"/>
    <s v="Yes"/>
    <n v="20"/>
    <n v="10"/>
    <n v="20"/>
  </r>
  <r>
    <n v="3498"/>
    <x v="256"/>
    <x v="1"/>
    <x v="266"/>
    <x v="0"/>
    <n v="5"/>
    <x v="2"/>
    <x v="1"/>
    <x v="1"/>
    <s v="No"/>
    <n v="0"/>
    <n v="0"/>
    <n v="5"/>
  </r>
  <r>
    <n v="3499"/>
    <x v="257"/>
    <x v="0"/>
    <x v="267"/>
    <x v="1"/>
    <n v="15"/>
    <x v="0"/>
    <x v="0"/>
    <x v="0"/>
    <s v="Yes"/>
    <n v="20"/>
    <n v="3"/>
    <n v="62"/>
  </r>
  <r>
    <n v="3500"/>
    <x v="258"/>
    <x v="2"/>
    <x v="268"/>
    <x v="0"/>
    <n v="10"/>
    <x v="1"/>
    <x v="1"/>
    <x v="1"/>
    <s v="Yes"/>
    <n v="20"/>
    <n v="15"/>
    <n v="15"/>
  </r>
  <r>
    <n v="3501"/>
    <x v="259"/>
    <x v="1"/>
    <x v="269"/>
    <x v="1"/>
    <n v="5"/>
    <x v="0"/>
    <x v="1"/>
    <x v="1"/>
    <s v="No"/>
    <n v="0"/>
    <n v="1"/>
    <n v="4"/>
  </r>
  <r>
    <n v="3502"/>
    <x v="260"/>
    <x v="0"/>
    <x v="270"/>
    <x v="0"/>
    <n v="15"/>
    <x v="2"/>
    <x v="0"/>
    <x v="0"/>
    <s v="Yes"/>
    <n v="20"/>
    <n v="7"/>
    <n v="58"/>
  </r>
  <r>
    <n v="3503"/>
    <x v="119"/>
    <x v="2"/>
    <x v="271"/>
    <x v="1"/>
    <n v="10"/>
    <x v="0"/>
    <x v="1"/>
    <x v="1"/>
    <s v="Yes"/>
    <n v="20"/>
    <n v="10"/>
    <n v="20"/>
  </r>
  <r>
    <n v="3504"/>
    <x v="261"/>
    <x v="1"/>
    <x v="272"/>
    <x v="0"/>
    <n v="5"/>
    <x v="1"/>
    <x v="1"/>
    <x v="1"/>
    <s v="No"/>
    <n v="0"/>
    <n v="0"/>
    <n v="5"/>
  </r>
  <r>
    <n v="3505"/>
    <x v="262"/>
    <x v="0"/>
    <x v="273"/>
    <x v="1"/>
    <n v="15"/>
    <x v="0"/>
    <x v="0"/>
    <x v="0"/>
    <s v="Yes"/>
    <n v="20"/>
    <n v="20"/>
    <n v="45"/>
  </r>
  <r>
    <n v="3506"/>
    <x v="263"/>
    <x v="2"/>
    <x v="274"/>
    <x v="0"/>
    <n v="10"/>
    <x v="2"/>
    <x v="1"/>
    <x v="1"/>
    <s v="Yes"/>
    <n v="20"/>
    <n v="15"/>
    <n v="15"/>
  </r>
  <r>
    <n v="3507"/>
    <x v="264"/>
    <x v="1"/>
    <x v="275"/>
    <x v="1"/>
    <n v="5"/>
    <x v="0"/>
    <x v="1"/>
    <x v="1"/>
    <s v="No"/>
    <n v="0"/>
    <n v="1"/>
    <n v="4"/>
  </r>
  <r>
    <n v="3508"/>
    <x v="265"/>
    <x v="0"/>
    <x v="276"/>
    <x v="0"/>
    <n v="15"/>
    <x v="1"/>
    <x v="0"/>
    <x v="0"/>
    <s v="Yes"/>
    <n v="20"/>
    <n v="3"/>
    <n v="62"/>
  </r>
  <r>
    <n v="3509"/>
    <x v="266"/>
    <x v="2"/>
    <x v="277"/>
    <x v="1"/>
    <n v="10"/>
    <x v="0"/>
    <x v="1"/>
    <x v="1"/>
    <s v="Yes"/>
    <n v="20"/>
    <n v="10"/>
    <n v="20"/>
  </r>
  <r>
    <n v="3510"/>
    <x v="267"/>
    <x v="1"/>
    <x v="278"/>
    <x v="0"/>
    <n v="5"/>
    <x v="2"/>
    <x v="1"/>
    <x v="1"/>
    <s v="No"/>
    <n v="0"/>
    <n v="0"/>
    <n v="5"/>
  </r>
  <r>
    <n v="3511"/>
    <x v="268"/>
    <x v="0"/>
    <x v="279"/>
    <x v="1"/>
    <n v="15"/>
    <x v="0"/>
    <x v="0"/>
    <x v="0"/>
    <s v="Yes"/>
    <n v="20"/>
    <n v="15"/>
    <n v="50"/>
  </r>
  <r>
    <n v="3512"/>
    <x v="269"/>
    <x v="2"/>
    <x v="280"/>
    <x v="0"/>
    <n v="10"/>
    <x v="1"/>
    <x v="1"/>
    <x v="1"/>
    <s v="Yes"/>
    <n v="20"/>
    <n v="15"/>
    <n v="15"/>
  </r>
  <r>
    <n v="3513"/>
    <x v="270"/>
    <x v="1"/>
    <x v="281"/>
    <x v="1"/>
    <n v="5"/>
    <x v="0"/>
    <x v="1"/>
    <x v="1"/>
    <s v="No"/>
    <n v="0"/>
    <n v="1"/>
    <n v="4"/>
  </r>
  <r>
    <n v="3514"/>
    <x v="271"/>
    <x v="0"/>
    <x v="282"/>
    <x v="0"/>
    <n v="15"/>
    <x v="2"/>
    <x v="0"/>
    <x v="0"/>
    <s v="Yes"/>
    <n v="20"/>
    <n v="7"/>
    <n v="58"/>
  </r>
  <r>
    <n v="3515"/>
    <x v="130"/>
    <x v="2"/>
    <x v="283"/>
    <x v="1"/>
    <n v="10"/>
    <x v="0"/>
    <x v="1"/>
    <x v="1"/>
    <s v="Yes"/>
    <n v="20"/>
    <n v="10"/>
    <n v="20"/>
  </r>
  <r>
    <n v="3516"/>
    <x v="131"/>
    <x v="1"/>
    <x v="284"/>
    <x v="0"/>
    <n v="5"/>
    <x v="1"/>
    <x v="1"/>
    <x v="1"/>
    <s v="No"/>
    <n v="0"/>
    <n v="0"/>
    <n v="5"/>
  </r>
  <r>
    <n v="3517"/>
    <x v="181"/>
    <x v="0"/>
    <x v="285"/>
    <x v="1"/>
    <n v="15"/>
    <x v="0"/>
    <x v="0"/>
    <x v="0"/>
    <s v="Yes"/>
    <n v="20"/>
    <n v="20"/>
    <n v="45"/>
  </r>
  <r>
    <n v="3518"/>
    <x v="272"/>
    <x v="2"/>
    <x v="286"/>
    <x v="0"/>
    <n v="10"/>
    <x v="2"/>
    <x v="1"/>
    <x v="1"/>
    <s v="Yes"/>
    <n v="20"/>
    <n v="12"/>
    <n v="18"/>
  </r>
  <r>
    <n v="3519"/>
    <x v="273"/>
    <x v="1"/>
    <x v="287"/>
    <x v="1"/>
    <n v="5"/>
    <x v="0"/>
    <x v="1"/>
    <x v="1"/>
    <s v="No"/>
    <n v="0"/>
    <n v="2"/>
    <n v="3"/>
  </r>
  <r>
    <n v="3520"/>
    <x v="274"/>
    <x v="0"/>
    <x v="288"/>
    <x v="0"/>
    <n v="15"/>
    <x v="1"/>
    <x v="0"/>
    <x v="0"/>
    <s v="Yes"/>
    <n v="20"/>
    <n v="5"/>
    <n v="60"/>
  </r>
  <r>
    <n v="3521"/>
    <x v="275"/>
    <x v="2"/>
    <x v="289"/>
    <x v="1"/>
    <n v="10"/>
    <x v="0"/>
    <x v="1"/>
    <x v="1"/>
    <s v="Yes"/>
    <n v="20"/>
    <n v="10"/>
    <n v="20"/>
  </r>
  <r>
    <n v="3522"/>
    <x v="276"/>
    <x v="1"/>
    <x v="290"/>
    <x v="0"/>
    <n v="5"/>
    <x v="2"/>
    <x v="1"/>
    <x v="1"/>
    <s v="No"/>
    <n v="0"/>
    <n v="0"/>
    <n v="5"/>
  </r>
  <r>
    <n v="3523"/>
    <x v="277"/>
    <x v="0"/>
    <x v="291"/>
    <x v="1"/>
    <n v="15"/>
    <x v="0"/>
    <x v="0"/>
    <x v="0"/>
    <s v="Yes"/>
    <n v="20"/>
    <n v="3"/>
    <n v="62"/>
  </r>
  <r>
    <n v="3524"/>
    <x v="278"/>
    <x v="2"/>
    <x v="292"/>
    <x v="0"/>
    <n v="10"/>
    <x v="1"/>
    <x v="1"/>
    <x v="1"/>
    <s v="Yes"/>
    <n v="20"/>
    <n v="15"/>
    <n v="15"/>
  </r>
  <r>
    <n v="3525"/>
    <x v="279"/>
    <x v="1"/>
    <x v="293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BB925-33AE-4E17-983C-BEB8F0F57F53}" name="Tabela dinâ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9">
  <location ref="B45:C57" firstHeaderRow="1" firstDataRow="1" firstDataCol="1" rowPageCount="1" colPageCount="1"/>
  <pivotFields count="14">
    <pivotField showAll="0"/>
    <pivotField showAll="0"/>
    <pivotField axis="axisPage" showAll="0">
      <items count="4">
        <item x="1"/>
        <item x="2"/>
        <item x="0"/>
        <item t="default"/>
      </items>
    </pivotField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3"/>
    <field x="3"/>
  </rowFields>
  <rowItems count="12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2" item="1" hier="-1"/>
  </pageFields>
  <dataFields count="1">
    <dataField name="Soma de Total Value" fld="12" baseField="0" baseItem="0" numFmtId="164"/>
  </dataFields>
  <formats count="1">
    <format dxfId="0">
      <pivotArea outline="0" collapsedLevelsAreSubtotals="1" fieldPosition="0"/>
    </format>
  </format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858E87-EE3F-472A-BB7C-75D02D63ED5C}" name="tbl_fat_total_plano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0">
  <location ref="B35:C39" firstHeaderRow="1" firstDataRow="1" firstDataCol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/>
  </dataFields>
  <formats count="2">
    <format dxfId="2">
      <pivotArea collapsedLevelsAreSubtotals="1" fieldPosition="0">
        <references count="1">
          <reference field="2" count="0"/>
        </references>
      </pivotArea>
    </format>
    <format dxfId="1">
      <pivotArea grandRow="1" outline="0" collapsedLevelsAreSubtotals="1" fieldPosition="0"/>
    </format>
  </formats>
  <chartFormats count="1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B0B1F2-0B64-4D79-AD46-A3D6F0D85F3A}" name="tbl_total_vendas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B8:C11" firstHeaderRow="1" firstDataRow="1" firstDataCol="1" rowPageCount="1" colPageCount="1"/>
  <pivotFields count="14"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4" baseItem="0" numFmtId="44"/>
  </dataFields>
  <formats count="1">
    <format dxfId="3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3975D-5397-4EE1-A27C-62108F0ADDAF}" name="tbl_vendas_minescraft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B27:C31" firstHeaderRow="1" firstDataRow="1" firstDataCol="1" rowPageCount="1" colPageCount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778EF-1DD3-44BA-BDD5-BFF3594790C3}" name="tbl_EA_Play_Vendas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B17:C21" firstHeaderRow="1" firstDataRow="1" firstDataCol="1" rowPageCount="1" colPageCount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30E1EE0-CA2D-44B2-91F9-324985C52419}" sourceName="Subscription Type">
  <pivotTables>
    <pivotTable tabId="3" name="tbl_total_vendas"/>
    <pivotTable tabId="3" name="tbl_EA_Play_Vendas"/>
    <pivotTable tabId="3" name="tbl_vendas_minescraft"/>
  </pivotTables>
  <data>
    <tabular pivotCacheId="1808048980">
      <items count="3">
        <i x="1" s="1"/>
        <i x="0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C6ED6CE4-30A7-4B86-A9E5-130C4872601F}" sourceName="Plan">
  <pivotTables>
    <pivotTable tabId="3" name="Tabela dinâmica2"/>
  </pivotTables>
  <data>
    <tabular pivotCacheId="1808048980">
      <items count="3">
        <i x="1"/>
        <i x="2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B69EBE3-217B-46FA-98A5-170745FE3883}" cache="SegmentaçãodeDados_Subscription_Type" caption="Subscription Type" style="SlicerStyleLight6 2" rowHeight="234950"/>
  <slicer name="Plan" xr10:uid="{A23C37DA-5816-4529-920E-3443B728AEBF}" cache="SegmentaçãodeDados_Plan" caption="Plan" style="SlicerStyleLight6 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9">
  <autoFilter ref="A1:M296" xr:uid="{F9BE0705-B0D4-4FE3-9854-F1945BE29061}">
    <filterColumn colId="2">
      <filters>
        <filter val="Core"/>
      </filters>
    </filterColumn>
  </autoFilter>
  <tableColumns count="13">
    <tableColumn id="1" xr3:uid="{C4A90516-688A-46BF-9167-EA16C2A8A652}" name="Subscriber ID" dataDxfId="18"/>
    <tableColumn id="2" xr3:uid="{53DD39D0-2220-4121-9E9D-4EAA7E151C0F}" name="Name" dataDxfId="17"/>
    <tableColumn id="3" xr3:uid="{4F5FF271-4C57-4BE0-8F2C-F82C8551625C}" name="Plan" dataDxfId="16"/>
    <tableColumn id="4" xr3:uid="{8C17EB93-79B9-4E55-B8F7-BEB82F8253E9}" name="Start Date" dataDxfId="15"/>
    <tableColumn id="5" xr3:uid="{48CEDF9B-1689-482A-A828-5CCE7713264A}" name="Auto Renewal" dataDxfId="14"/>
    <tableColumn id="6" xr3:uid="{78B82374-9AA7-4E38-AE4F-78CDE6C83720}" name="Subscription Price" dataDxfId="13" dataCellStyle="Moeda"/>
    <tableColumn id="7" xr3:uid="{F2433F68-AF33-49D0-B1FB-19A396074EDE}" name="Subscription Type" dataDxfId="12"/>
    <tableColumn id="8" xr3:uid="{FD4D9C95-F6E5-4933-9068-A71FF7DF9343}" name="EA Play Season Pass" dataDxfId="11"/>
    <tableColumn id="13" xr3:uid="{978DD0D2-834E-4CE4-A39B-30976086932F}" name="EA Play Season Pass_x000a_Price" dataDxfId="10" dataCellStyle="Moeda"/>
    <tableColumn id="9" xr3:uid="{6E29F111-C395-4580-9DAD-3407D9E8B1A4}" name="Minecraft Season Pass" dataDxfId="9"/>
    <tableColumn id="10" xr3:uid="{EF544EAA-7F25-4FD5-A10E-8E62804DB9E3}" name="Minecraft Season Pass Price" dataDxfId="8" dataCellStyle="Moeda"/>
    <tableColumn id="11" xr3:uid="{7F6EB64A-1F07-4E48-9F0F-AC7D9DCD26F8}" name="Coupon Value" dataDxfId="7" dataCellStyle="Moeda"/>
    <tableColumn id="12" xr3:uid="{2B04ABC8-DE6F-426E-ADC0-D8AFC68CA58E}" name="Total Value" dataDxfId="6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="90" zoomScaleNormal="90" workbookViewId="0">
      <selection activeCell="E5" sqref="E5"/>
    </sheetView>
  </sheetViews>
  <sheetFormatPr defaultRowHeight="13.8"/>
  <cols>
    <col min="9" max="9" width="3.59765625" customWidth="1"/>
  </cols>
  <sheetData>
    <row r="3" spans="2:16" ht="19.8" thickBot="1">
      <c r="B3" s="1" t="s">
        <v>0</v>
      </c>
      <c r="C3" s="1"/>
      <c r="D3" s="1"/>
      <c r="E3" s="1"/>
      <c r="F3" s="1"/>
      <c r="G3" s="1"/>
      <c r="H3" s="1"/>
    </row>
    <row r="4" spans="2:16" ht="14.4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19.8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4.4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B216" zoomScale="90" zoomScaleNormal="90" workbookViewId="0">
      <selection activeCell="C297" sqref="C297"/>
    </sheetView>
  </sheetViews>
  <sheetFormatPr defaultRowHeight="13.8"/>
  <cols>
    <col min="1" max="1" width="17.8984375" bestFit="1" customWidth="1"/>
    <col min="2" max="2" width="18.8984375" bestFit="1" customWidth="1"/>
    <col min="3" max="3" width="9.3984375" bestFit="1" customWidth="1"/>
    <col min="4" max="4" width="14.59765625" bestFit="1" customWidth="1"/>
    <col min="5" max="5" width="18" bestFit="1" customWidth="1"/>
    <col min="6" max="6" width="14.69921875" bestFit="1" customWidth="1"/>
    <col min="7" max="7" width="22" bestFit="1" customWidth="1"/>
    <col min="8" max="8" width="20.59765625" bestFit="1" customWidth="1"/>
    <col min="9" max="9" width="20.59765625" customWidth="1"/>
    <col min="10" max="10" width="16.69921875" bestFit="1" customWidth="1"/>
    <col min="11" max="11" width="21.296875" bestFit="1" customWidth="1"/>
    <col min="12" max="12" width="12.69921875" bestFit="1" customWidth="1"/>
    <col min="13" max="13" width="10.59765625" bestFit="1" customWidth="1"/>
  </cols>
  <sheetData>
    <row r="1" spans="1:13" ht="27.6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hidden="1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hidden="1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hidden="1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hidden="1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hidden="1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hidden="1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hidden="1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hidden="1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hidden="1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hidden="1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hidden="1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hidden="1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hidden="1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hidden="1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hidden="1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hidden="1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hidden="1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hidden="1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hidden="1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hidden="1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E57"/>
  <sheetViews>
    <sheetView tabSelected="1" workbookViewId="0">
      <selection activeCell="F13" sqref="F13"/>
    </sheetView>
  </sheetViews>
  <sheetFormatPr defaultRowHeight="13.8"/>
  <cols>
    <col min="2" max="2" width="17.69921875" bestFit="1" customWidth="1"/>
    <col min="3" max="3" width="19.09765625" bestFit="1" customWidth="1"/>
    <col min="4" max="4" width="30.59765625" bestFit="1" customWidth="1"/>
    <col min="5" max="5" width="10.69921875" bestFit="1" customWidth="1"/>
    <col min="6" max="6" width="19.09765625" bestFit="1" customWidth="1"/>
    <col min="7" max="7" width="27.69921875" bestFit="1" customWidth="1"/>
    <col min="8" max="8" width="5.3984375" customWidth="1"/>
    <col min="9" max="9" width="21.09765625" bestFit="1" customWidth="1"/>
    <col min="10" max="11" width="35.09765625" bestFit="1" customWidth="1"/>
    <col min="12" max="15" width="9.69921875" bestFit="1" customWidth="1"/>
    <col min="16" max="16" width="15.59765625" bestFit="1" customWidth="1"/>
    <col min="17" max="17" width="12.09765625" bestFit="1" customWidth="1"/>
  </cols>
  <sheetData>
    <row r="1" spans="1:3">
      <c r="A1" t="s">
        <v>318</v>
      </c>
    </row>
    <row r="3" spans="1:3">
      <c r="B3" t="s">
        <v>316</v>
      </c>
    </row>
    <row r="4" spans="1:3">
      <c r="B4" t="s">
        <v>317</v>
      </c>
    </row>
    <row r="6" spans="1:3">
      <c r="B6" s="12" t="s">
        <v>16</v>
      </c>
      <c r="C6" t="s">
        <v>24</v>
      </c>
    </row>
    <row r="8" spans="1:3">
      <c r="B8" s="12" t="s">
        <v>313</v>
      </c>
      <c r="C8" t="s">
        <v>315</v>
      </c>
    </row>
    <row r="9" spans="1:3">
      <c r="B9" s="13" t="s">
        <v>23</v>
      </c>
      <c r="C9" s="15">
        <v>217</v>
      </c>
    </row>
    <row r="10" spans="1:3">
      <c r="B10" s="13" t="s">
        <v>19</v>
      </c>
      <c r="C10" s="15">
        <v>1537</v>
      </c>
    </row>
    <row r="11" spans="1:3">
      <c r="B11" s="13" t="s">
        <v>314</v>
      </c>
      <c r="C11" s="15">
        <v>1754</v>
      </c>
    </row>
    <row r="13" spans="1:3">
      <c r="B13" s="13" t="s">
        <v>320</v>
      </c>
    </row>
    <row r="15" spans="1:3">
      <c r="B15" s="12" t="s">
        <v>16</v>
      </c>
      <c r="C15" t="s">
        <v>24</v>
      </c>
    </row>
    <row r="17" spans="2:5">
      <c r="B17" s="12" t="s">
        <v>313</v>
      </c>
      <c r="C17" t="s">
        <v>321</v>
      </c>
    </row>
    <row r="18" spans="2:5">
      <c r="B18" s="13" t="s">
        <v>22</v>
      </c>
      <c r="C18" s="15">
        <v>0</v>
      </c>
    </row>
    <row r="19" spans="2:5">
      <c r="B19" s="13" t="s">
        <v>26</v>
      </c>
      <c r="C19" s="15">
        <v>0</v>
      </c>
    </row>
    <row r="20" spans="2:5">
      <c r="B20" s="13" t="s">
        <v>18</v>
      </c>
      <c r="C20" s="15">
        <v>600</v>
      </c>
    </row>
    <row r="21" spans="2:5">
      <c r="B21" s="13" t="s">
        <v>314</v>
      </c>
      <c r="C21" s="15">
        <v>600</v>
      </c>
      <c r="E21" s="14">
        <f>GETPIVOTDATA("EA Play Season Pass
Price",$B$17)</f>
        <v>600</v>
      </c>
    </row>
    <row r="23" spans="2:5">
      <c r="B23" s="13" t="s">
        <v>322</v>
      </c>
    </row>
    <row r="25" spans="2:5">
      <c r="B25" s="12" t="s">
        <v>16</v>
      </c>
      <c r="C25" t="s">
        <v>24</v>
      </c>
    </row>
    <row r="27" spans="2:5">
      <c r="B27" s="12" t="s">
        <v>313</v>
      </c>
      <c r="C27" t="s">
        <v>323</v>
      </c>
      <c r="D27" s="12"/>
      <c r="E27" s="12"/>
    </row>
    <row r="28" spans="2:5">
      <c r="B28" s="13" t="s">
        <v>22</v>
      </c>
      <c r="C28" s="15">
        <v>0</v>
      </c>
    </row>
    <row r="29" spans="2:5">
      <c r="B29" s="13" t="s">
        <v>26</v>
      </c>
      <c r="C29" s="15">
        <v>540</v>
      </c>
    </row>
    <row r="30" spans="2:5">
      <c r="B30" s="13" t="s">
        <v>18</v>
      </c>
      <c r="C30" s="15">
        <v>400</v>
      </c>
      <c r="E30" s="14">
        <f>GETPIVOTDATA("Minecraft Season Pass Price",$B$27)</f>
        <v>940</v>
      </c>
    </row>
    <row r="31" spans="2:5">
      <c r="B31" s="13" t="s">
        <v>314</v>
      </c>
      <c r="C31" s="15">
        <v>940</v>
      </c>
    </row>
    <row r="33" spans="2:3">
      <c r="B33" s="13" t="s">
        <v>324</v>
      </c>
    </row>
    <row r="35" spans="2:3">
      <c r="B35" s="12" t="s">
        <v>313</v>
      </c>
      <c r="C35" t="s">
        <v>315</v>
      </c>
    </row>
    <row r="36" spans="2:3">
      <c r="B36" s="13" t="s">
        <v>22</v>
      </c>
      <c r="C36" s="14">
        <v>444</v>
      </c>
    </row>
    <row r="37" spans="2:3">
      <c r="B37" s="13" t="s">
        <v>26</v>
      </c>
      <c r="C37" s="14">
        <v>1801</v>
      </c>
    </row>
    <row r="38" spans="2:3">
      <c r="B38" s="13" t="s">
        <v>18</v>
      </c>
      <c r="C38" s="14">
        <v>5388</v>
      </c>
    </row>
    <row r="39" spans="2:3">
      <c r="B39" s="13" t="s">
        <v>314</v>
      </c>
      <c r="C39" s="14">
        <v>7633</v>
      </c>
    </row>
    <row r="41" spans="2:3">
      <c r="B41" s="13" t="s">
        <v>325</v>
      </c>
    </row>
    <row r="43" spans="2:3">
      <c r="B43" s="12" t="s">
        <v>13</v>
      </c>
      <c r="C43" t="s">
        <v>26</v>
      </c>
    </row>
    <row r="45" spans="2:3">
      <c r="B45" s="12" t="s">
        <v>313</v>
      </c>
      <c r="C45" t="s">
        <v>315</v>
      </c>
    </row>
    <row r="46" spans="2:3">
      <c r="B46" s="13" t="s">
        <v>326</v>
      </c>
      <c r="C46" s="14">
        <v>20</v>
      </c>
    </row>
    <row r="47" spans="2:3">
      <c r="B47" s="13" t="s">
        <v>327</v>
      </c>
      <c r="C47" s="14">
        <v>191</v>
      </c>
    </row>
    <row r="48" spans="2:3">
      <c r="B48" s="13" t="s">
        <v>328</v>
      </c>
      <c r="C48" s="14">
        <v>193</v>
      </c>
    </row>
    <row r="49" spans="2:3">
      <c r="B49" s="13" t="s">
        <v>329</v>
      </c>
      <c r="C49" s="14">
        <v>183</v>
      </c>
    </row>
    <row r="50" spans="2:3">
      <c r="B50" s="13" t="s">
        <v>330</v>
      </c>
      <c r="C50" s="14">
        <v>196</v>
      </c>
    </row>
    <row r="51" spans="2:3">
      <c r="B51" s="13" t="s">
        <v>331</v>
      </c>
      <c r="C51" s="14">
        <v>188</v>
      </c>
    </row>
    <row r="52" spans="2:3">
      <c r="B52" s="13" t="s">
        <v>332</v>
      </c>
      <c r="C52" s="14">
        <v>188</v>
      </c>
    </row>
    <row r="53" spans="2:3">
      <c r="B53" s="13" t="s">
        <v>333</v>
      </c>
      <c r="C53" s="14">
        <v>188</v>
      </c>
    </row>
    <row r="54" spans="2:3">
      <c r="B54" s="13" t="s">
        <v>334</v>
      </c>
      <c r="C54" s="14">
        <v>178</v>
      </c>
    </row>
    <row r="55" spans="2:3">
      <c r="B55" s="13" t="s">
        <v>335</v>
      </c>
      <c r="C55" s="14">
        <v>188</v>
      </c>
    </row>
    <row r="56" spans="2:3">
      <c r="B56" s="13" t="s">
        <v>336</v>
      </c>
      <c r="C56" s="14">
        <v>88</v>
      </c>
    </row>
    <row r="57" spans="2:3">
      <c r="B57" s="13" t="s">
        <v>314</v>
      </c>
      <c r="C57" s="14">
        <v>1801</v>
      </c>
    </row>
  </sheetData>
  <pageMargins left="0.511811024" right="0.511811024" top="0.78740157499999996" bottom="0.78740157499999996" header="0.31496062000000002" footer="0.31496062000000002"/>
  <pageSetup paperSize="9" orientation="portrait" r:id="rId6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Q358"/>
  <sheetViews>
    <sheetView showGridLines="0" zoomScale="60" zoomScaleNormal="60" workbookViewId="0">
      <selection activeCell="S20" sqref="S20"/>
    </sheetView>
  </sheetViews>
  <sheetFormatPr defaultRowHeight="13.8"/>
  <cols>
    <col min="1" max="1" width="32.19921875" style="4" customWidth="1"/>
    <col min="2" max="2" width="3.59765625" customWidth="1"/>
    <col min="12" max="12" width="6.59765625" customWidth="1"/>
  </cols>
  <sheetData>
    <row r="1" spans="1:17" ht="13.95" customHeight="1"/>
    <row r="2" spans="1:17" ht="39" customHeight="1" thickBot="1">
      <c r="C2" s="17" t="s">
        <v>319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13.95" customHeight="1" thickTop="1"/>
    <row r="4" spans="1:17" s="7" customFormat="1" ht="8.25" customHeight="1">
      <c r="A4" s="4"/>
    </row>
    <row r="5" spans="1:17" s="7" customFormat="1" ht="7.5" customHeight="1">
      <c r="A5" s="4"/>
    </row>
    <row r="6" spans="1:17" s="7" customFormat="1" ht="10.5" customHeight="1">
      <c r="A6" s="4"/>
    </row>
    <row r="7" spans="1:17" s="7" customFormat="1" ht="9.75" customHeight="1">
      <c r="A7" s="4"/>
    </row>
    <row r="8" spans="1:17" s="7" customFormat="1" ht="33" customHeight="1">
      <c r="A8" s="4"/>
    </row>
    <row r="9" spans="1:17" s="7" customFormat="1">
      <c r="A9" s="4"/>
    </row>
    <row r="10" spans="1:17" s="7" customFormat="1">
      <c r="A10" s="4"/>
    </row>
    <row r="11" spans="1:17" s="7" customFormat="1">
      <c r="A11" s="4"/>
    </row>
    <row r="12" spans="1:17" s="7" customFormat="1">
      <c r="A12" s="4"/>
    </row>
    <row r="13" spans="1:17" s="7" customFormat="1">
      <c r="A13" s="4"/>
    </row>
    <row r="14" spans="1:17" s="7" customFormat="1">
      <c r="A14" s="4"/>
    </row>
    <row r="15" spans="1:17" s="7" customFormat="1">
      <c r="A15" s="4"/>
    </row>
    <row r="16" spans="1:17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  <row r="137" spans="1:1" s="7" customFormat="1">
      <c r="A137" s="4"/>
    </row>
    <row r="138" spans="1:1" s="7" customFormat="1">
      <c r="A138" s="4"/>
    </row>
    <row r="139" spans="1:1" s="7" customFormat="1">
      <c r="A139" s="4"/>
    </row>
    <row r="140" spans="1:1" s="7" customFormat="1">
      <c r="A140" s="4"/>
    </row>
    <row r="141" spans="1:1" s="7" customFormat="1">
      <c r="A141" s="4"/>
    </row>
    <row r="142" spans="1:1" s="7" customFormat="1">
      <c r="A142" s="4"/>
    </row>
    <row r="143" spans="1:1" s="7" customFormat="1">
      <c r="A143" s="4"/>
    </row>
    <row r="144" spans="1:1" s="7" customFormat="1">
      <c r="A144" s="4"/>
    </row>
    <row r="145" spans="1:1" s="7" customFormat="1">
      <c r="A145" s="4"/>
    </row>
    <row r="146" spans="1:1" s="7" customFormat="1">
      <c r="A146" s="4"/>
    </row>
    <row r="147" spans="1:1" s="7" customFormat="1">
      <c r="A147" s="4"/>
    </row>
    <row r="148" spans="1:1" s="7" customFormat="1">
      <c r="A148" s="4"/>
    </row>
    <row r="149" spans="1:1" s="7" customFormat="1">
      <c r="A149" s="4"/>
    </row>
    <row r="150" spans="1:1" s="7" customFormat="1">
      <c r="A150" s="4"/>
    </row>
    <row r="151" spans="1:1" s="7" customFormat="1">
      <c r="A151" s="4"/>
    </row>
    <row r="152" spans="1:1" s="7" customFormat="1">
      <c r="A152" s="4"/>
    </row>
    <row r="153" spans="1:1" s="7" customFormat="1">
      <c r="A153" s="4"/>
    </row>
    <row r="154" spans="1:1" s="7" customFormat="1">
      <c r="A154" s="4"/>
    </row>
    <row r="155" spans="1:1" s="7" customFormat="1">
      <c r="A155" s="4"/>
    </row>
    <row r="156" spans="1:1" s="7" customFormat="1">
      <c r="A156" s="4"/>
    </row>
    <row r="157" spans="1:1" s="7" customFormat="1">
      <c r="A157" s="4"/>
    </row>
    <row r="158" spans="1:1" s="7" customFormat="1">
      <c r="A158" s="4"/>
    </row>
    <row r="159" spans="1:1" s="7" customFormat="1">
      <c r="A159" s="4"/>
    </row>
    <row r="160" spans="1:1" s="7" customFormat="1">
      <c r="A160" s="4"/>
    </row>
    <row r="161" spans="1:1" s="7" customFormat="1">
      <c r="A161" s="4"/>
    </row>
    <row r="162" spans="1:1" s="7" customFormat="1">
      <c r="A162" s="4"/>
    </row>
    <row r="163" spans="1:1" s="7" customFormat="1">
      <c r="A163" s="4"/>
    </row>
    <row r="164" spans="1:1" s="7" customFormat="1">
      <c r="A164" s="4"/>
    </row>
    <row r="165" spans="1:1" s="7" customFormat="1">
      <c r="A165" s="4"/>
    </row>
    <row r="166" spans="1:1" s="7" customFormat="1">
      <c r="A166" s="4"/>
    </row>
    <row r="167" spans="1:1" s="7" customFormat="1">
      <c r="A167" s="4"/>
    </row>
    <row r="168" spans="1:1" s="7" customFormat="1">
      <c r="A168" s="4"/>
    </row>
    <row r="169" spans="1:1" s="7" customFormat="1">
      <c r="A169" s="4"/>
    </row>
    <row r="170" spans="1:1" s="7" customFormat="1">
      <c r="A170" s="4"/>
    </row>
    <row r="171" spans="1:1" s="7" customFormat="1">
      <c r="A171" s="4"/>
    </row>
    <row r="172" spans="1:1" s="7" customFormat="1">
      <c r="A172" s="4"/>
    </row>
    <row r="173" spans="1:1" s="7" customFormat="1">
      <c r="A173" s="4"/>
    </row>
    <row r="174" spans="1:1" s="7" customFormat="1">
      <c r="A174" s="4"/>
    </row>
    <row r="175" spans="1:1" s="7" customFormat="1">
      <c r="A175" s="4"/>
    </row>
    <row r="176" spans="1:1" s="7" customFormat="1">
      <c r="A176" s="4"/>
    </row>
    <row r="177" spans="1:1" s="7" customFormat="1">
      <c r="A177" s="4"/>
    </row>
    <row r="178" spans="1:1" s="7" customFormat="1">
      <c r="A178" s="4"/>
    </row>
    <row r="179" spans="1:1" s="7" customFormat="1">
      <c r="A179" s="4"/>
    </row>
    <row r="180" spans="1:1" s="7" customFormat="1">
      <c r="A180" s="4"/>
    </row>
    <row r="181" spans="1:1" s="7" customFormat="1">
      <c r="A181" s="4"/>
    </row>
    <row r="182" spans="1:1" s="7" customFormat="1">
      <c r="A182" s="4"/>
    </row>
    <row r="183" spans="1:1" s="7" customFormat="1">
      <c r="A183" s="4"/>
    </row>
    <row r="184" spans="1:1" s="7" customFormat="1">
      <c r="A184" s="4"/>
    </row>
    <row r="185" spans="1:1" s="7" customFormat="1">
      <c r="A185" s="4"/>
    </row>
    <row r="186" spans="1:1" s="7" customFormat="1">
      <c r="A186" s="4"/>
    </row>
    <row r="187" spans="1:1" s="7" customFormat="1">
      <c r="A187" s="4"/>
    </row>
    <row r="188" spans="1:1" s="7" customFormat="1">
      <c r="A188" s="4"/>
    </row>
    <row r="189" spans="1:1" s="7" customFormat="1">
      <c r="A189" s="4"/>
    </row>
    <row r="190" spans="1:1" s="7" customFormat="1">
      <c r="A190" s="4"/>
    </row>
    <row r="191" spans="1:1" s="7" customFormat="1">
      <c r="A191" s="4"/>
    </row>
    <row r="192" spans="1:1" s="7" customFormat="1">
      <c r="A192" s="4"/>
    </row>
    <row r="193" spans="1:1" s="7" customFormat="1">
      <c r="A193" s="4"/>
    </row>
    <row r="194" spans="1:1" s="7" customFormat="1">
      <c r="A194" s="4"/>
    </row>
    <row r="195" spans="1:1" s="7" customFormat="1">
      <c r="A195" s="4"/>
    </row>
    <row r="196" spans="1:1" s="7" customFormat="1">
      <c r="A196" s="4"/>
    </row>
    <row r="197" spans="1:1" s="7" customFormat="1">
      <c r="A197" s="4"/>
    </row>
    <row r="198" spans="1:1" s="7" customFormat="1">
      <c r="A198" s="4"/>
    </row>
    <row r="199" spans="1:1" s="7" customFormat="1">
      <c r="A199" s="4"/>
    </row>
    <row r="200" spans="1:1" s="7" customFormat="1">
      <c r="A200" s="4"/>
    </row>
    <row r="201" spans="1:1" s="7" customFormat="1">
      <c r="A201" s="4"/>
    </row>
    <row r="202" spans="1:1" s="7" customFormat="1">
      <c r="A202" s="4"/>
    </row>
    <row r="203" spans="1:1" s="7" customFormat="1">
      <c r="A203" s="4"/>
    </row>
    <row r="204" spans="1:1" s="7" customFormat="1">
      <c r="A204" s="4"/>
    </row>
    <row r="205" spans="1:1" s="7" customFormat="1">
      <c r="A205" s="4"/>
    </row>
    <row r="206" spans="1:1" s="7" customFormat="1">
      <c r="A206" s="4"/>
    </row>
    <row r="207" spans="1:1" s="7" customFormat="1">
      <c r="A207" s="4"/>
    </row>
    <row r="208" spans="1:1" s="7" customFormat="1">
      <c r="A208" s="4"/>
    </row>
    <row r="209" spans="1:1" s="7" customFormat="1">
      <c r="A209" s="4"/>
    </row>
    <row r="210" spans="1:1" s="7" customFormat="1">
      <c r="A210" s="4"/>
    </row>
    <row r="211" spans="1:1" s="7" customFormat="1">
      <c r="A211" s="4"/>
    </row>
    <row r="212" spans="1:1" s="7" customFormat="1">
      <c r="A212" s="4"/>
    </row>
    <row r="213" spans="1:1" s="7" customFormat="1">
      <c r="A213" s="4"/>
    </row>
    <row r="214" spans="1:1" s="7" customFormat="1">
      <c r="A214" s="4"/>
    </row>
    <row r="215" spans="1:1" s="7" customFormat="1">
      <c r="A215" s="4"/>
    </row>
    <row r="216" spans="1:1" s="7" customFormat="1">
      <c r="A216" s="4"/>
    </row>
    <row r="217" spans="1:1" s="7" customFormat="1">
      <c r="A217" s="4"/>
    </row>
    <row r="218" spans="1:1" s="7" customFormat="1">
      <c r="A218" s="4"/>
    </row>
    <row r="219" spans="1:1" s="7" customFormat="1">
      <c r="A219" s="4"/>
    </row>
    <row r="220" spans="1:1" s="7" customFormat="1">
      <c r="A220" s="4"/>
    </row>
    <row r="221" spans="1:1" s="7" customFormat="1">
      <c r="A221" s="4"/>
    </row>
    <row r="222" spans="1:1" s="7" customFormat="1">
      <c r="A222" s="4"/>
    </row>
    <row r="223" spans="1:1" s="7" customFormat="1">
      <c r="A223" s="4"/>
    </row>
    <row r="224" spans="1:1" s="7" customFormat="1">
      <c r="A224" s="4"/>
    </row>
    <row r="225" spans="1:1" s="7" customFormat="1">
      <c r="A225" s="4"/>
    </row>
    <row r="226" spans="1:1" s="7" customFormat="1">
      <c r="A226" s="4"/>
    </row>
    <row r="227" spans="1:1" s="7" customFormat="1">
      <c r="A227" s="4"/>
    </row>
    <row r="228" spans="1:1" s="7" customFormat="1">
      <c r="A228" s="4"/>
    </row>
    <row r="229" spans="1:1" s="7" customFormat="1">
      <c r="A229" s="4"/>
    </row>
    <row r="230" spans="1:1" s="7" customFormat="1">
      <c r="A230" s="4"/>
    </row>
    <row r="231" spans="1:1" s="7" customFormat="1">
      <c r="A231" s="4"/>
    </row>
    <row r="232" spans="1:1" s="7" customFormat="1">
      <c r="A232" s="4"/>
    </row>
    <row r="233" spans="1:1" s="7" customFormat="1">
      <c r="A233" s="4"/>
    </row>
    <row r="234" spans="1:1" s="7" customFormat="1">
      <c r="A234" s="4"/>
    </row>
    <row r="235" spans="1:1" s="7" customFormat="1">
      <c r="A235" s="4"/>
    </row>
    <row r="236" spans="1:1" s="7" customFormat="1">
      <c r="A236" s="4"/>
    </row>
    <row r="237" spans="1:1" s="7" customFormat="1">
      <c r="A237" s="4"/>
    </row>
    <row r="238" spans="1:1" s="7" customFormat="1">
      <c r="A238" s="4"/>
    </row>
    <row r="239" spans="1:1" s="7" customFormat="1">
      <c r="A239" s="4"/>
    </row>
    <row r="240" spans="1:1" s="7" customFormat="1">
      <c r="A240" s="4"/>
    </row>
    <row r="241" spans="1:1" s="7" customFormat="1">
      <c r="A241" s="4"/>
    </row>
    <row r="242" spans="1:1" s="7" customFormat="1">
      <c r="A242" s="4"/>
    </row>
    <row r="243" spans="1:1" s="7" customFormat="1">
      <c r="A243" s="4"/>
    </row>
    <row r="244" spans="1:1" s="7" customFormat="1">
      <c r="A244" s="4"/>
    </row>
    <row r="245" spans="1:1" s="7" customFormat="1">
      <c r="A245" s="4"/>
    </row>
    <row r="246" spans="1:1" s="7" customFormat="1">
      <c r="A246" s="4"/>
    </row>
    <row r="247" spans="1:1" s="7" customFormat="1">
      <c r="A247" s="4"/>
    </row>
    <row r="248" spans="1:1" s="7" customFormat="1">
      <c r="A248" s="4"/>
    </row>
    <row r="249" spans="1:1" s="7" customFormat="1">
      <c r="A249" s="4"/>
    </row>
    <row r="250" spans="1:1" s="7" customFormat="1">
      <c r="A250" s="4"/>
    </row>
    <row r="251" spans="1:1" s="7" customFormat="1">
      <c r="A251" s="4"/>
    </row>
    <row r="252" spans="1:1" s="7" customFormat="1">
      <c r="A252" s="4"/>
    </row>
    <row r="253" spans="1:1" s="7" customFormat="1">
      <c r="A253" s="4"/>
    </row>
    <row r="254" spans="1:1" s="7" customFormat="1">
      <c r="A254" s="4"/>
    </row>
    <row r="255" spans="1:1" s="7" customFormat="1">
      <c r="A255" s="4"/>
    </row>
    <row r="256" spans="1:1" s="7" customFormat="1">
      <c r="A256" s="4"/>
    </row>
    <row r="257" spans="1:1" s="7" customFormat="1">
      <c r="A257" s="4"/>
    </row>
    <row r="258" spans="1:1" s="7" customFormat="1">
      <c r="A258" s="4"/>
    </row>
    <row r="259" spans="1:1" s="7" customFormat="1">
      <c r="A259" s="4"/>
    </row>
    <row r="260" spans="1:1" s="7" customFormat="1">
      <c r="A260" s="4"/>
    </row>
    <row r="261" spans="1:1" s="7" customFormat="1">
      <c r="A261" s="4"/>
    </row>
    <row r="262" spans="1:1" s="7" customFormat="1">
      <c r="A262" s="4"/>
    </row>
    <row r="263" spans="1:1" s="7" customFormat="1">
      <c r="A263" s="4"/>
    </row>
    <row r="264" spans="1:1" s="7" customFormat="1">
      <c r="A264" s="4"/>
    </row>
    <row r="265" spans="1:1" s="7" customFormat="1">
      <c r="A265" s="4"/>
    </row>
    <row r="266" spans="1:1" s="7" customFormat="1">
      <c r="A266" s="4"/>
    </row>
    <row r="267" spans="1:1" s="7" customFormat="1">
      <c r="A267" s="4"/>
    </row>
    <row r="268" spans="1:1" s="7" customFormat="1">
      <c r="A268" s="4"/>
    </row>
    <row r="269" spans="1:1" s="7" customFormat="1">
      <c r="A269" s="4"/>
    </row>
    <row r="270" spans="1:1" s="7" customFormat="1">
      <c r="A270" s="4"/>
    </row>
    <row r="271" spans="1:1" s="7" customFormat="1">
      <c r="A271" s="4"/>
    </row>
    <row r="272" spans="1:1" s="7" customFormat="1">
      <c r="A272" s="4"/>
    </row>
    <row r="273" spans="1:1" s="7" customFormat="1">
      <c r="A273" s="4"/>
    </row>
    <row r="274" spans="1:1" s="7" customFormat="1">
      <c r="A274" s="4"/>
    </row>
    <row r="275" spans="1:1" s="7" customFormat="1">
      <c r="A275" s="4"/>
    </row>
    <row r="276" spans="1:1" s="7" customFormat="1">
      <c r="A276" s="4"/>
    </row>
    <row r="277" spans="1:1" s="7" customFormat="1">
      <c r="A277" s="4"/>
    </row>
    <row r="278" spans="1:1" s="7" customFormat="1">
      <c r="A278" s="4"/>
    </row>
    <row r="279" spans="1:1" s="7" customFormat="1">
      <c r="A279" s="4"/>
    </row>
    <row r="280" spans="1:1" s="7" customFormat="1">
      <c r="A280" s="4"/>
    </row>
    <row r="281" spans="1:1" s="7" customFormat="1">
      <c r="A281" s="4"/>
    </row>
    <row r="282" spans="1:1" s="7" customFormat="1">
      <c r="A282" s="4"/>
    </row>
    <row r="283" spans="1:1" s="7" customFormat="1">
      <c r="A283" s="4"/>
    </row>
    <row r="284" spans="1:1" s="7" customFormat="1">
      <c r="A284" s="4"/>
    </row>
    <row r="285" spans="1:1" s="7" customFormat="1">
      <c r="A285" s="4"/>
    </row>
    <row r="286" spans="1:1" s="7" customFormat="1">
      <c r="A286" s="4"/>
    </row>
    <row r="287" spans="1:1" s="7" customFormat="1">
      <c r="A287" s="4"/>
    </row>
    <row r="288" spans="1:1" s="7" customFormat="1">
      <c r="A288" s="4"/>
    </row>
    <row r="289" spans="1:1" s="7" customFormat="1">
      <c r="A289" s="4"/>
    </row>
    <row r="290" spans="1:1" s="7" customFormat="1">
      <c r="A290" s="4"/>
    </row>
    <row r="291" spans="1:1" s="7" customFormat="1">
      <c r="A291" s="4"/>
    </row>
    <row r="292" spans="1:1" s="7" customFormat="1">
      <c r="A292" s="4"/>
    </row>
    <row r="293" spans="1:1" s="7" customFormat="1">
      <c r="A293" s="4"/>
    </row>
    <row r="294" spans="1:1" s="7" customFormat="1">
      <c r="A294" s="4"/>
    </row>
    <row r="295" spans="1:1" s="7" customFormat="1">
      <c r="A295" s="4"/>
    </row>
    <row r="296" spans="1:1" s="7" customFormat="1">
      <c r="A296" s="4"/>
    </row>
    <row r="297" spans="1:1" s="7" customFormat="1">
      <c r="A297" s="4"/>
    </row>
    <row r="298" spans="1:1" s="7" customFormat="1">
      <c r="A298" s="4"/>
    </row>
    <row r="299" spans="1:1" s="7" customFormat="1">
      <c r="A299" s="4"/>
    </row>
    <row r="300" spans="1:1" s="7" customFormat="1">
      <c r="A300" s="4"/>
    </row>
    <row r="301" spans="1:1" s="7" customFormat="1">
      <c r="A301" s="4"/>
    </row>
    <row r="302" spans="1:1" s="7" customFormat="1">
      <c r="A302" s="4"/>
    </row>
    <row r="303" spans="1:1" s="7" customFormat="1">
      <c r="A303" s="4"/>
    </row>
    <row r="304" spans="1:1" s="7" customFormat="1">
      <c r="A304" s="4"/>
    </row>
    <row r="305" spans="1:1" s="7" customFormat="1">
      <c r="A305" s="4"/>
    </row>
    <row r="306" spans="1:1" s="7" customFormat="1">
      <c r="A306" s="4"/>
    </row>
    <row r="307" spans="1:1" s="7" customFormat="1">
      <c r="A307" s="4"/>
    </row>
    <row r="308" spans="1:1" s="7" customFormat="1">
      <c r="A308" s="4"/>
    </row>
    <row r="309" spans="1:1" s="7" customFormat="1">
      <c r="A309" s="4"/>
    </row>
    <row r="310" spans="1:1" s="7" customFormat="1">
      <c r="A310" s="4"/>
    </row>
    <row r="311" spans="1:1" s="7" customFormat="1">
      <c r="A311" s="4"/>
    </row>
    <row r="312" spans="1:1" s="7" customFormat="1">
      <c r="A312" s="4"/>
    </row>
    <row r="313" spans="1:1" s="7" customFormat="1">
      <c r="A313" s="4"/>
    </row>
    <row r="314" spans="1:1" s="7" customFormat="1">
      <c r="A314" s="4"/>
    </row>
    <row r="315" spans="1:1" s="7" customFormat="1">
      <c r="A315" s="4"/>
    </row>
    <row r="316" spans="1:1" s="7" customFormat="1">
      <c r="A316" s="4"/>
    </row>
    <row r="317" spans="1:1" s="7" customFormat="1">
      <c r="A317" s="4"/>
    </row>
    <row r="318" spans="1:1" s="7" customFormat="1">
      <c r="A318" s="4"/>
    </row>
    <row r="319" spans="1:1" s="7" customFormat="1">
      <c r="A319" s="4"/>
    </row>
    <row r="320" spans="1:1" s="7" customFormat="1">
      <c r="A320" s="4"/>
    </row>
    <row r="321" spans="1:1" s="7" customFormat="1">
      <c r="A321" s="4"/>
    </row>
    <row r="322" spans="1:1" s="7" customFormat="1">
      <c r="A322" s="4"/>
    </row>
    <row r="323" spans="1:1" s="7" customFormat="1">
      <c r="A323" s="4"/>
    </row>
    <row r="324" spans="1:1" s="7" customFormat="1">
      <c r="A324" s="4"/>
    </row>
    <row r="325" spans="1:1" s="7" customFormat="1">
      <c r="A325" s="4"/>
    </row>
    <row r="326" spans="1:1" s="7" customFormat="1">
      <c r="A326" s="4"/>
    </row>
    <row r="327" spans="1:1" s="7" customFormat="1">
      <c r="A327" s="4"/>
    </row>
    <row r="328" spans="1:1" s="7" customFormat="1">
      <c r="A328" s="4"/>
    </row>
    <row r="329" spans="1:1" s="7" customFormat="1">
      <c r="A329" s="4"/>
    </row>
    <row r="330" spans="1:1" s="7" customFormat="1">
      <c r="A330" s="4"/>
    </row>
    <row r="331" spans="1:1" s="7" customFormat="1">
      <c r="A331" s="4"/>
    </row>
    <row r="332" spans="1:1" s="7" customFormat="1">
      <c r="A332" s="4"/>
    </row>
    <row r="333" spans="1:1" s="7" customFormat="1">
      <c r="A333" s="4"/>
    </row>
    <row r="334" spans="1:1" s="7" customFormat="1">
      <c r="A334" s="4"/>
    </row>
    <row r="335" spans="1:1" s="7" customFormat="1">
      <c r="A335" s="4"/>
    </row>
    <row r="336" spans="1:1" s="7" customFormat="1">
      <c r="A336" s="4"/>
    </row>
    <row r="337" spans="1:1" s="7" customFormat="1">
      <c r="A337" s="4"/>
    </row>
    <row r="338" spans="1:1" s="7" customFormat="1">
      <c r="A338" s="4"/>
    </row>
    <row r="339" spans="1:1" s="7" customFormat="1">
      <c r="A339" s="4"/>
    </row>
    <row r="340" spans="1:1" s="7" customFormat="1">
      <c r="A340" s="4"/>
    </row>
    <row r="341" spans="1:1" s="7" customFormat="1">
      <c r="A341" s="4"/>
    </row>
    <row r="342" spans="1:1" s="7" customFormat="1">
      <c r="A342" s="4"/>
    </row>
    <row r="343" spans="1:1" s="7" customFormat="1">
      <c r="A343" s="4"/>
    </row>
    <row r="344" spans="1:1" s="7" customFormat="1">
      <c r="A344" s="4"/>
    </row>
    <row r="345" spans="1:1" s="7" customFormat="1">
      <c r="A345" s="4"/>
    </row>
    <row r="346" spans="1:1" s="7" customFormat="1">
      <c r="A346" s="4"/>
    </row>
    <row r="347" spans="1:1" s="7" customFormat="1">
      <c r="A347" s="4"/>
    </row>
    <row r="348" spans="1:1" s="7" customFormat="1">
      <c r="A348" s="4"/>
    </row>
    <row r="349" spans="1:1" s="7" customFormat="1">
      <c r="A349" s="4"/>
    </row>
    <row r="350" spans="1:1" s="7" customFormat="1">
      <c r="A350" s="4"/>
    </row>
    <row r="351" spans="1:1" s="7" customFormat="1">
      <c r="A351" s="4"/>
    </row>
    <row r="352" spans="1:1" s="7" customFormat="1">
      <c r="A352" s="4"/>
    </row>
    <row r="353" spans="1:1" s="7" customFormat="1">
      <c r="A353" s="4"/>
    </row>
    <row r="354" spans="1:1" s="7" customFormat="1">
      <c r="A354" s="4"/>
    </row>
    <row r="355" spans="1:1" s="7" customFormat="1">
      <c r="A355" s="4"/>
    </row>
    <row r="356" spans="1:1" s="7" customFormat="1">
      <c r="A356" s="4"/>
    </row>
    <row r="357" spans="1:1" s="7" customFormat="1">
      <c r="A357" s="4"/>
    </row>
    <row r="358" spans="1:1" s="7" customFormat="1">
      <c r="A358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19483571-f922-4e8e-9c1c-26f0a2252132"/>
    <ds:schemaRef ds:uri="http://schemas.microsoft.com/office/infopath/2007/PartnerControls"/>
    <ds:schemaRef ds:uri="http://schemas.openxmlformats.org/package/2006/metadata/core-properties"/>
    <ds:schemaRef ds:uri="851b35d3-0456-4d6a-bc2f-da927e91d158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Dael</dc:creator>
  <cp:lastModifiedBy>Jean Dael Edouard</cp:lastModifiedBy>
  <dcterms:created xsi:type="dcterms:W3CDTF">2024-12-19T13:13:10Z</dcterms:created>
  <dcterms:modified xsi:type="dcterms:W3CDTF">2026-09-27T00:33:40Z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