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6"/>
  <workbookPr defaultThemeVersion="166925"/>
  <xr:revisionPtr revIDLastSave="0" documentId="8_{1F8A1243-92A0-427A-B876-8CB8BE91CAEE}" xr6:coauthVersionLast="47" xr6:coauthVersionMax="47" xr10:uidLastSave="{00000000-0000-0000-0000-000000000000}"/>
  <bookViews>
    <workbookView xWindow="240" yWindow="105" windowWidth="14805" windowHeight="8010" firstSheet="1" xr2:uid="{00000000-000D-0000-FFFF-FFFF00000000}"/>
  </bookViews>
  <sheets>
    <sheet name="Investimento" sheetId="1" r:id="rId1"/>
    <sheet name="Repor" sheetId="2" r:id="rId2"/>
  </sheets>
  <definedNames>
    <definedName name="Aporte">Investimento!$D$13:$D$13</definedName>
    <definedName name="Dividendos_mensais">Investimento!$D$17:$D$17</definedName>
    <definedName name="Patrimonio">Investimento!$D$16:$D$16</definedName>
    <definedName name="Patrimonio_2anos">Investimento!$C$20:$C$20</definedName>
    <definedName name="Porcent_mes">Investimento!$D$9:$D$9</definedName>
    <definedName name="Qte_anos">Investimento!$D$14:$D$14</definedName>
    <definedName name="Rendimento_carteira">Investimento!$D$8:$D$8</definedName>
    <definedName name="Salario">Investimento!$D$7:$D$7</definedName>
    <definedName name="Sugestao_investimento">Investimento!$D$10:$D$10</definedName>
    <definedName name="Taxa_rendimento">Investimento!$D$15:$D$15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1" i="1" l="1"/>
  <c r="C32" i="1"/>
  <c r="C33" i="1"/>
  <c r="C34" i="1"/>
  <c r="C35" i="1"/>
  <c r="C30" i="1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3" i="2"/>
  <c r="D10" i="1" a="1"/>
  <c r="D10" i="1"/>
  <c r="D13" i="1" a="1"/>
  <c r="D13" i="1" s="1"/>
  <c r="D27" i="1" s="1" a="1"/>
  <c r="D27" i="1" s="1"/>
  <c r="D31" i="1" l="1"/>
  <c r="D32" i="1"/>
  <c r="D33" i="1"/>
  <c r="D34" i="1"/>
  <c r="D35" i="1"/>
  <c r="D30" i="1"/>
  <c r="D36" i="1" s="1"/>
  <c r="C21" i="1" a="1"/>
  <c r="C21" i="1" s="1"/>
  <c r="D21" i="1" s="1"/>
  <c r="C22" i="1" a="1"/>
  <c r="C22" i="1" s="1"/>
  <c r="D22" i="1" s="1"/>
  <c r="C23" i="1" a="1"/>
  <c r="C23" i="1" s="1"/>
  <c r="D23" i="1" s="1"/>
  <c r="C24" i="1" a="1"/>
  <c r="C24" i="1" s="1"/>
  <c r="D24" i="1" s="1"/>
  <c r="C20" i="1" a="1"/>
  <c r="C20" i="1" s="1"/>
  <c r="D20" i="1" s="1"/>
  <c r="D16" i="1" a="1"/>
  <c r="D16" i="1" s="1"/>
  <c r="D17" i="1" s="1" a="1"/>
  <c r="D17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<sst xmlns="http://schemas.openxmlformats.org/spreadsheetml/2006/main" count="71" uniqueCount="35">
  <si>
    <t>CONFIGURAÇÕES</t>
  </si>
  <si>
    <t>Salario</t>
  </si>
  <si>
    <t>Rendimento carteira</t>
  </si>
  <si>
    <t>% Investimento por mês</t>
  </si>
  <si>
    <t>Sugestão de investimento</t>
  </si>
  <si>
    <t>INVESTIMENTO MENSAL</t>
  </si>
  <si>
    <t>Quanto investir por mês ?</t>
  </si>
  <si>
    <t>Por quanto anos ?</t>
  </si>
  <si>
    <t>Taxa de rendimento mensal ?</t>
  </si>
  <si>
    <t>Patrimônio acumulado ?</t>
  </si>
  <si>
    <t>Dividendos mensais ?</t>
  </si>
  <si>
    <t>CENÁRIOS</t>
  </si>
  <si>
    <t>DIVIDENDO</t>
  </si>
  <si>
    <t>Quanto em 2 anos ?</t>
  </si>
  <si>
    <t>Quantos em 5 anos ?</t>
  </si>
  <si>
    <t>Quanto em 10 anos ?</t>
  </si>
  <si>
    <t>Quanto em 20 anos ?</t>
  </si>
  <si>
    <t>Quanto em 30 anos ?</t>
  </si>
  <si>
    <t>PERFIL</t>
  </si>
  <si>
    <t>Conservador</t>
  </si>
  <si>
    <t>VALOR APORTE POR MÊS</t>
  </si>
  <si>
    <t>TIPO DE FII</t>
  </si>
  <si>
    <t>% SUGERIDO</t>
  </si>
  <si>
    <t>VALORES</t>
  </si>
  <si>
    <t>PAPEL</t>
  </si>
  <si>
    <t>TIJOLO</t>
  </si>
  <si>
    <t>HIBRIDOS</t>
  </si>
  <si>
    <t>FOFs</t>
  </si>
  <si>
    <t>DESENVOLVIMENTO</t>
  </si>
  <si>
    <t>HOTELARIAS</t>
  </si>
  <si>
    <t>TOTAL</t>
  </si>
  <si>
    <t>CHAVE</t>
  </si>
  <si>
    <t>PERCENTUAL</t>
  </si>
  <si>
    <t>Moderado</t>
  </si>
  <si>
    <t>Agressivo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</si>
</sst>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164" formatCode="&quot;R$&quot;\ #,##0.00"/>
  </numFmts>
  <fonts count="10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0"/>
      <name val="Calibri"/>
      <scheme val="minor"/>
    </font>
    <font>
      <sz val="11"/>
      <color theme="0"/>
      <name val="Calibri"/>
      <family val="2"/>
      <scheme val="minor"/>
    </font>
    <font>
      <sz val="14"/>
      <color theme="1"/>
      <name val="Cambria"/>
    </font>
    <font>
      <sz val="14"/>
      <color theme="0"/>
      <name val="Cambria"/>
    </font>
    <font>
      <sz val="14"/>
      <color theme="0"/>
      <name val="Calibri"/>
      <scheme val="minor"/>
    </font>
    <font>
      <sz val="11"/>
      <color theme="1"/>
      <name val="Cambria"/>
    </font>
    <font>
      <sz val="12"/>
      <color theme="0"/>
      <name val="Cambria"/>
    </font>
    <font>
      <sz val="12"/>
      <color theme="1"/>
      <name val="Cambria"/>
    </font>
  </fonts>
  <fills count="5">
    <fill>
      <patternFill patternType="none"/>
    </fill>
    <fill>
      <patternFill patternType="gray125"/>
    </fill>
    <fill>
      <patternFill patternType="solid">
        <fgColor theme="6" tint="0.39997558519241921"/>
        <bgColor indexed="65"/>
      </patternFill>
    </fill>
    <fill>
      <patternFill patternType="solid">
        <fgColor theme="8"/>
      </patternFill>
    </fill>
    <fill>
      <patternFill patternType="solid">
        <fgColor rgb="FF017C43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41">
    <xf numFmtId="0" fontId="0" fillId="0" borderId="0" xfId="0"/>
    <xf numFmtId="0" fontId="3" fillId="0" borderId="0" xfId="0" applyFont="1"/>
    <xf numFmtId="0" fontId="4" fillId="0" borderId="0" xfId="0" applyFont="1"/>
    <xf numFmtId="0" fontId="7" fillId="0" borderId="0" xfId="0" applyFont="1"/>
    <xf numFmtId="0" fontId="9" fillId="0" borderId="5" xfId="0" applyFont="1" applyBorder="1"/>
    <xf numFmtId="0" fontId="9" fillId="0" borderId="0" xfId="0" applyFont="1" applyBorder="1" applyAlignment="1">
      <alignment horizontal="center" vertical="center"/>
    </xf>
    <xf numFmtId="164" fontId="9" fillId="0" borderId="6" xfId="0" applyNumberFormat="1" applyFont="1" applyBorder="1" applyAlignment="1">
      <alignment horizontal="center" vertical="center"/>
    </xf>
    <xf numFmtId="10" fontId="9" fillId="0" borderId="6" xfId="0" applyNumberFormat="1" applyFont="1" applyBorder="1" applyAlignment="1">
      <alignment horizontal="center" vertical="center"/>
    </xf>
    <xf numFmtId="0" fontId="9" fillId="0" borderId="7" xfId="0" applyFont="1" applyBorder="1"/>
    <xf numFmtId="0" fontId="9" fillId="0" borderId="1" xfId="0" applyFont="1" applyBorder="1" applyAlignment="1">
      <alignment horizontal="center" vertical="center"/>
    </xf>
    <xf numFmtId="164" fontId="9" fillId="0" borderId="8" xfId="0" applyNumberFormat="1" applyFont="1" applyBorder="1" applyAlignment="1">
      <alignment horizontal="center" vertical="center"/>
    </xf>
    <xf numFmtId="1" fontId="9" fillId="0" borderId="6" xfId="0" applyNumberFormat="1" applyFont="1" applyBorder="1" applyAlignment="1">
      <alignment horizontal="center" vertical="center"/>
    </xf>
    <xf numFmtId="0" fontId="9" fillId="2" borderId="5" xfId="1" applyFont="1" applyBorder="1"/>
    <xf numFmtId="0" fontId="9" fillId="2" borderId="0" xfId="1" applyFont="1" applyBorder="1" applyAlignment="1">
      <alignment horizontal="center" vertical="center"/>
    </xf>
    <xf numFmtId="8" fontId="9" fillId="2" borderId="6" xfId="1" applyNumberFormat="1" applyFont="1" applyBorder="1" applyAlignment="1">
      <alignment horizontal="center" vertical="center"/>
    </xf>
    <xf numFmtId="0" fontId="9" fillId="2" borderId="7" xfId="1" applyFont="1" applyBorder="1"/>
    <xf numFmtId="0" fontId="9" fillId="2" borderId="1" xfId="1" applyFont="1" applyBorder="1" applyAlignment="1">
      <alignment horizontal="center" vertical="center"/>
    </xf>
    <xf numFmtId="164" fontId="9" fillId="2" borderId="8" xfId="1" applyNumberFormat="1" applyFont="1" applyBorder="1" applyAlignment="1">
      <alignment horizontal="center" vertical="center"/>
    </xf>
    <xf numFmtId="8" fontId="9" fillId="2" borderId="0" xfId="1" applyNumberFormat="1" applyFont="1" applyBorder="1" applyAlignment="1">
      <alignment horizontal="center" vertical="center"/>
    </xf>
    <xf numFmtId="8" fontId="9" fillId="2" borderId="1" xfId="1" applyNumberFormat="1" applyFont="1" applyBorder="1" applyAlignment="1">
      <alignment horizontal="center" vertical="center"/>
    </xf>
    <xf numFmtId="8" fontId="9" fillId="2" borderId="8" xfId="1" applyNumberFormat="1" applyFont="1" applyBorder="1" applyAlignment="1">
      <alignment horizontal="center" vertical="center"/>
    </xf>
    <xf numFmtId="164" fontId="9" fillId="2" borderId="1" xfId="1" applyNumberFormat="1" applyFont="1" applyBorder="1"/>
    <xf numFmtId="0" fontId="9" fillId="0" borderId="5" xfId="0" applyFont="1" applyFill="1" applyBorder="1"/>
    <xf numFmtId="9" fontId="9" fillId="0" borderId="0" xfId="0" applyNumberFormat="1" applyFont="1" applyFill="1" applyBorder="1" applyAlignment="1">
      <alignment horizontal="center" vertical="center"/>
    </xf>
    <xf numFmtId="164" fontId="9" fillId="2" borderId="6" xfId="1" applyNumberFormat="1" applyFont="1" applyBorder="1" applyAlignment="1">
      <alignment horizontal="center" vertical="center"/>
    </xf>
    <xf numFmtId="10" fontId="9" fillId="2" borderId="1" xfId="1" applyNumberFormat="1" applyFont="1" applyBorder="1" applyAlignment="1">
      <alignment horizontal="center" vertical="center"/>
    </xf>
    <xf numFmtId="9" fontId="9" fillId="0" borderId="6" xfId="0" applyNumberFormat="1" applyFont="1" applyBorder="1" applyAlignment="1">
      <alignment horizontal="center" vertical="center"/>
    </xf>
    <xf numFmtId="9" fontId="9" fillId="0" borderId="8" xfId="0" applyNumberFormat="1" applyFont="1" applyBorder="1" applyAlignment="1">
      <alignment horizontal="center" vertical="center"/>
    </xf>
    <xf numFmtId="0" fontId="9" fillId="0" borderId="0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2" borderId="5" xfId="1" applyFont="1" applyBorder="1" applyAlignment="1">
      <alignment horizontal="left" vertical="center"/>
    </xf>
    <xf numFmtId="0" fontId="9" fillId="2" borderId="7" xfId="1" applyFont="1" applyBorder="1" applyAlignment="1">
      <alignment horizontal="left" vertical="center"/>
    </xf>
    <xf numFmtId="0" fontId="5" fillId="4" borderId="2" xfId="2" applyFont="1" applyFill="1" applyBorder="1"/>
    <xf numFmtId="0" fontId="5" fillId="4" borderId="3" xfId="2" applyFont="1" applyFill="1" applyBorder="1" applyAlignment="1">
      <alignment horizontal="center" vertical="center"/>
    </xf>
    <xf numFmtId="0" fontId="5" fillId="4" borderId="4" xfId="2" applyFont="1" applyFill="1" applyBorder="1" applyAlignment="1">
      <alignment horizontal="center" vertical="center"/>
    </xf>
    <xf numFmtId="0" fontId="8" fillId="4" borderId="2" xfId="2" applyFont="1" applyFill="1" applyBorder="1"/>
    <xf numFmtId="0" fontId="8" fillId="4" borderId="3" xfId="2" applyFont="1" applyFill="1" applyBorder="1"/>
    <xf numFmtId="0" fontId="8" fillId="4" borderId="4" xfId="2" applyFont="1" applyFill="1" applyBorder="1" applyAlignment="1">
      <alignment horizontal="center" vertical="center"/>
    </xf>
    <xf numFmtId="0" fontId="6" fillId="4" borderId="2" xfId="2" applyFont="1" applyFill="1" applyBorder="1" applyAlignment="1">
      <alignment horizontal="left" vertical="center"/>
    </xf>
    <xf numFmtId="0" fontId="6" fillId="4" borderId="3" xfId="2" applyFont="1" applyFill="1" applyBorder="1" applyAlignment="1">
      <alignment horizontal="left" vertical="center"/>
    </xf>
    <xf numFmtId="0" fontId="6" fillId="4" borderId="4" xfId="2" applyFont="1" applyFill="1" applyBorder="1" applyAlignment="1">
      <alignment horizontal="center" vertical="center"/>
    </xf>
  </cellXfs>
  <cellStyles count="3">
    <cellStyle name="60% - Ênfase3" xfId="1" builtinId="40"/>
    <cellStyle name="Ênfase5" xfId="2" builtinId="45"/>
    <cellStyle name="Normal" xfId="0" builtinId="0"/>
  </cellStyles>
  <dxfs count="0"/>
  <tableStyles count="0" defaultTableStyle="TableStyleMedium2" defaultPivotStyle="PivotStyleMedium9"/>
  <colors>
    <mruColors>
      <color rgb="FF017C4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TIPO DE FII POR PORCENTAGEM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1CB-4D87-B83D-33CD6884595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1CB-4D87-B83D-33CD6884595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1CB-4D87-B83D-33CD6884595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1CB-4D87-B83D-33CD6884595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1CB-4D87-B83D-33CD6884595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61CB-4D87-B83D-33CD6884595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1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eparator> 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Investimento!$B$30:$B$35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HIBRIDOS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Investimento!$C$30:$C$35</c:f>
              <c:numCache>
                <c:formatCode>0%</c:formatCode>
                <c:ptCount val="6"/>
                <c:pt idx="0">
                  <c:v>0.3</c:v>
                </c:pt>
                <c:pt idx="1">
                  <c:v>0.5</c:v>
                </c:pt>
                <c:pt idx="2">
                  <c:v>0.1</c:v>
                </c:pt>
                <c:pt idx="3">
                  <c:v>0.1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BE-4BD6-BE37-BD881B66FE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36</xdr:row>
      <xdr:rowOff>171450</xdr:rowOff>
    </xdr:from>
    <xdr:to>
      <xdr:col>3</xdr:col>
      <xdr:colOff>1000125</xdr:colOff>
      <xdr:row>50</xdr:row>
      <xdr:rowOff>133350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A432772-DED4-4252-5800-ADA41A983919}"/>
            </a:ext>
            <a:ext uri="{147F2762-F138-4A5C-976F-8EAC2B608ADB}">
              <a16:predDERef xmlns:a16="http://schemas.microsoft.com/office/drawing/2014/main" pred="{C54262E6-421E-4416-AB14-7855CF65E6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714375</xdr:colOff>
      <xdr:row>0</xdr:row>
      <xdr:rowOff>28575</xdr:rowOff>
    </xdr:from>
    <xdr:to>
      <xdr:col>3</xdr:col>
      <xdr:colOff>295275</xdr:colOff>
      <xdr:row>4</xdr:row>
      <xdr:rowOff>133350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76AA6005-4950-09B2-00E5-D918FB2294CD}"/>
            </a:ext>
            <a:ext uri="{147F2762-F138-4A5C-976F-8EAC2B608ADB}">
              <a16:predDERef xmlns:a16="http://schemas.microsoft.com/office/drawing/2014/main" pred="{CA432772-DED4-4252-5800-ADA41A9839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 t="6465" b="15354"/>
        <a:stretch>
          <a:fillRect/>
        </a:stretch>
      </xdr:blipFill>
      <xdr:spPr>
        <a:xfrm>
          <a:off x="971550" y="28575"/>
          <a:ext cx="2819400" cy="866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D36"/>
  <sheetViews>
    <sheetView showGridLines="0" tabSelected="1" topLeftCell="A5" workbookViewId="0">
      <selection activeCell="D20" sqref="D20"/>
    </sheetView>
  </sheetViews>
  <sheetFormatPr defaultColWidth="0" defaultRowHeight="15"/>
  <cols>
    <col min="1" max="1" width="3.85546875" customWidth="1"/>
    <col min="2" max="2" width="31.140625" bestFit="1" customWidth="1"/>
    <col min="3" max="3" width="17.42578125" bestFit="1" customWidth="1"/>
    <col min="4" max="4" width="15.42578125" bestFit="1" customWidth="1"/>
    <col min="5" max="5" width="3.85546875" customWidth="1"/>
  </cols>
  <sheetData>
    <row r="6" spans="2:4" s="2" customFormat="1" ht="18">
      <c r="B6" s="32" t="s">
        <v>0</v>
      </c>
      <c r="C6" s="33"/>
      <c r="D6" s="34"/>
    </row>
    <row r="7" spans="2:4" ht="15.75">
      <c r="B7" s="4" t="s">
        <v>1</v>
      </c>
      <c r="C7" s="5"/>
      <c r="D7" s="6">
        <v>3000</v>
      </c>
    </row>
    <row r="8" spans="2:4" ht="15.75">
      <c r="B8" s="4" t="s">
        <v>2</v>
      </c>
      <c r="C8" s="5"/>
      <c r="D8" s="7">
        <v>0.01</v>
      </c>
    </row>
    <row r="9" spans="2:4" ht="15.75">
      <c r="B9" s="4" t="s">
        <v>3</v>
      </c>
      <c r="C9" s="5"/>
      <c r="D9" s="7">
        <v>0.25</v>
      </c>
    </row>
    <row r="10" spans="2:4" ht="15.75">
      <c r="B10" s="8" t="s">
        <v>4</v>
      </c>
      <c r="C10" s="9"/>
      <c r="D10" s="10" cm="1">
        <f t="array" ref="D10">Salario*Porcent_mes</f>
        <v>750</v>
      </c>
    </row>
    <row r="11" spans="2:4">
      <c r="B11" s="3"/>
      <c r="C11" s="3"/>
      <c r="D11" s="3"/>
    </row>
    <row r="12" spans="2:4" s="2" customFormat="1" ht="18">
      <c r="B12" s="32" t="s">
        <v>5</v>
      </c>
      <c r="C12" s="33"/>
      <c r="D12" s="34"/>
    </row>
    <row r="13" spans="2:4" ht="15.75">
      <c r="B13" s="4" t="s">
        <v>6</v>
      </c>
      <c r="C13" s="5"/>
      <c r="D13" s="6" cm="1">
        <f t="array" ref="D13">Sugestao_investimento</f>
        <v>750</v>
      </c>
    </row>
    <row r="14" spans="2:4" ht="15.75">
      <c r="B14" s="4" t="s">
        <v>7</v>
      </c>
      <c r="C14" s="5"/>
      <c r="D14" s="11">
        <v>5</v>
      </c>
    </row>
    <row r="15" spans="2:4" ht="15.75">
      <c r="B15" s="4" t="s">
        <v>8</v>
      </c>
      <c r="C15" s="5"/>
      <c r="D15" s="7">
        <v>1.0800000000000001E-2</v>
      </c>
    </row>
    <row r="16" spans="2:4" ht="15.75">
      <c r="B16" s="12" t="s">
        <v>9</v>
      </c>
      <c r="C16" s="13"/>
      <c r="D16" s="14" cm="1">
        <f t="array" ref="D16">FV(Taxa_rendimento,Qte_anos*12,Aporte*-1)</f>
        <v>62853.014519443823</v>
      </c>
    </row>
    <row r="17" spans="1:4" ht="15.75">
      <c r="B17" s="15" t="s">
        <v>10</v>
      </c>
      <c r="C17" s="16"/>
      <c r="D17" s="17" cm="1">
        <f t="array" ref="D17">Patrimonio*1%</f>
        <v>628.53014519443821</v>
      </c>
    </row>
    <row r="18" spans="1:4">
      <c r="B18" s="3"/>
      <c r="C18" s="3"/>
      <c r="D18" s="3"/>
    </row>
    <row r="19" spans="1:4" s="2" customFormat="1" ht="18">
      <c r="B19" s="32" t="s">
        <v>11</v>
      </c>
      <c r="C19" s="33"/>
      <c r="D19" s="34" t="s">
        <v>12</v>
      </c>
    </row>
    <row r="20" spans="1:4" ht="15.75">
      <c r="A20" s="1">
        <v>2</v>
      </c>
      <c r="B20" s="12" t="s">
        <v>13</v>
      </c>
      <c r="C20" s="18" cm="1">
        <f t="array" ref="C20">FV(Taxa_rendimento,A20*12,Aporte*-1)</f>
        <v>20423.147745436192</v>
      </c>
      <c r="D20" s="14">
        <f>C20*1%</f>
        <v>204.23147745436194</v>
      </c>
    </row>
    <row r="21" spans="1:4" ht="15.75">
      <c r="A21" s="1">
        <v>5</v>
      </c>
      <c r="B21" s="12" t="s">
        <v>14</v>
      </c>
      <c r="C21" s="18" cm="1">
        <f t="array" ref="C21">FV(Taxa_rendimento,A21*12,Aporte*-1)</f>
        <v>62853.014519443823</v>
      </c>
      <c r="D21" s="14">
        <f t="shared" ref="D21:D24" si="0">C21*1%</f>
        <v>628.53014519443821</v>
      </c>
    </row>
    <row r="22" spans="1:4" ht="15.75">
      <c r="A22" s="1">
        <v>10</v>
      </c>
      <c r="B22" s="12" t="s">
        <v>15</v>
      </c>
      <c r="C22" s="18" cm="1">
        <f t="array" ref="C22">FV(Taxa_rendimento,A22*12,Aporte*-1)</f>
        <v>182593.24969110006</v>
      </c>
      <c r="D22" s="14">
        <f t="shared" si="0"/>
        <v>1825.9324969110007</v>
      </c>
    </row>
    <row r="23" spans="1:4" ht="15.75">
      <c r="A23" s="1">
        <v>20</v>
      </c>
      <c r="B23" s="12" t="s">
        <v>16</v>
      </c>
      <c r="C23" s="18" cm="1">
        <f t="array" ref="C23">FV(Taxa_rendimento,A23*12,Aporte*-1)</f>
        <v>845286.74497389246</v>
      </c>
      <c r="D23" s="14">
        <f t="shared" si="0"/>
        <v>8452.8674497389256</v>
      </c>
    </row>
    <row r="24" spans="1:4" ht="15.75">
      <c r="A24" s="1">
        <v>30</v>
      </c>
      <c r="B24" s="15" t="s">
        <v>17</v>
      </c>
      <c r="C24" s="19" cm="1">
        <f t="array" ref="C24">FV(Taxa_rendimento,A24*12,Aporte*-1)</f>
        <v>3250428.6077375636</v>
      </c>
      <c r="D24" s="20">
        <f t="shared" si="0"/>
        <v>32504.286077375637</v>
      </c>
    </row>
    <row r="25" spans="1:4">
      <c r="B25" s="3"/>
      <c r="C25" s="3"/>
      <c r="D25" s="3"/>
    </row>
    <row r="26" spans="1:4" ht="15.75">
      <c r="B26" s="35" t="s">
        <v>18</v>
      </c>
      <c r="C26" s="36"/>
      <c r="D26" s="37" t="s">
        <v>19</v>
      </c>
    </row>
    <row r="27" spans="1:4" ht="15.75">
      <c r="B27" s="15" t="s">
        <v>20</v>
      </c>
      <c r="C27" s="21"/>
      <c r="D27" s="17" cm="1">
        <f t="array" ref="D27">Aporte</f>
        <v>750</v>
      </c>
    </row>
    <row r="28" spans="1:4">
      <c r="B28" s="3"/>
      <c r="C28" s="3"/>
      <c r="D28" s="3"/>
    </row>
    <row r="29" spans="1:4" s="2" customFormat="1" ht="18">
      <c r="B29" s="32" t="s">
        <v>21</v>
      </c>
      <c r="C29" s="33" t="s">
        <v>22</v>
      </c>
      <c r="D29" s="34" t="s">
        <v>23</v>
      </c>
    </row>
    <row r="30" spans="1:4" ht="15.75">
      <c r="B30" s="22" t="s">
        <v>24</v>
      </c>
      <c r="C30" s="23">
        <f>VLOOKUP($D$26&amp;"-"&amp;B30,Repor!$A:$D,4,FALSE)</f>
        <v>0.3</v>
      </c>
      <c r="D30" s="24">
        <f>$D$27*C30</f>
        <v>225</v>
      </c>
    </row>
    <row r="31" spans="1:4" ht="15.75">
      <c r="B31" s="22" t="s">
        <v>25</v>
      </c>
      <c r="C31" s="23">
        <f>VLOOKUP($D$26&amp;"-"&amp;B31,Repor!$A:$D,4,FALSE)</f>
        <v>0.5</v>
      </c>
      <c r="D31" s="24">
        <f t="shared" ref="D31:D35" si="1">$D$27*C31</f>
        <v>375</v>
      </c>
    </row>
    <row r="32" spans="1:4" ht="15.75">
      <c r="B32" s="22" t="s">
        <v>26</v>
      </c>
      <c r="C32" s="23">
        <f>VLOOKUP($D$26&amp;"-"&amp;B32,Repor!$A:$D,4,FALSE)</f>
        <v>0.1</v>
      </c>
      <c r="D32" s="24">
        <f t="shared" si="1"/>
        <v>75</v>
      </c>
    </row>
    <row r="33" spans="2:4" ht="15.75">
      <c r="B33" s="22" t="s">
        <v>27</v>
      </c>
      <c r="C33" s="23">
        <f>VLOOKUP($D$26&amp;"-"&amp;B33,Repor!$A:$D,4,FALSE)</f>
        <v>0.1</v>
      </c>
      <c r="D33" s="24">
        <f t="shared" si="1"/>
        <v>75</v>
      </c>
    </row>
    <row r="34" spans="2:4" ht="15.75">
      <c r="B34" s="22" t="s">
        <v>28</v>
      </c>
      <c r="C34" s="23">
        <f>VLOOKUP($D$26&amp;"-"&amp;B34,Repor!$A:$D,4,FALSE)</f>
        <v>0</v>
      </c>
      <c r="D34" s="24">
        <f t="shared" si="1"/>
        <v>0</v>
      </c>
    </row>
    <row r="35" spans="2:4" ht="15.75">
      <c r="B35" s="22" t="s">
        <v>29</v>
      </c>
      <c r="C35" s="23">
        <f>VLOOKUP($D$26&amp;"-"&amp;B35,Repor!$A:$D,4,FALSE)</f>
        <v>0</v>
      </c>
      <c r="D35" s="24">
        <f t="shared" si="1"/>
        <v>0</v>
      </c>
    </row>
    <row r="36" spans="2:4" ht="15.75">
      <c r="B36" s="15" t="s">
        <v>30</v>
      </c>
      <c r="C36" s="25"/>
      <c r="D36" s="17">
        <f>SUM(D30:D35)</f>
        <v>750</v>
      </c>
    </row>
  </sheetData>
  <dataValidations count="1">
    <dataValidation type="list" allowBlank="1" showInputMessage="1" showErrorMessage="1" sqref="D26" xr:uid="{AE460752-6797-4253-9296-B5ACCB708BE6}">
      <formula1>"Conservador,Moderado,Agressivo"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AB72E-D119-4765-8D70-07DF20D8122E}">
  <dimension ref="A2:D20"/>
  <sheetViews>
    <sheetView showGridLines="0" topLeftCell="A2" workbookViewId="0">
      <selection activeCell="C18" sqref="C18"/>
    </sheetView>
  </sheetViews>
  <sheetFormatPr defaultColWidth="0" defaultRowHeight="15"/>
  <cols>
    <col min="1" max="1" width="35.85546875" bestFit="1" customWidth="1"/>
    <col min="2" max="2" width="14" bestFit="1" customWidth="1"/>
    <col min="3" max="3" width="22.28515625" bestFit="1" customWidth="1"/>
    <col min="4" max="4" width="16" bestFit="1" customWidth="1"/>
    <col min="5" max="5" width="1.140625" customWidth="1"/>
  </cols>
  <sheetData>
    <row r="2" spans="1:4" ht="18.75">
      <c r="A2" s="38" t="s">
        <v>31</v>
      </c>
      <c r="B2" s="39" t="s">
        <v>18</v>
      </c>
      <c r="C2" s="39" t="s">
        <v>21</v>
      </c>
      <c r="D2" s="40" t="s">
        <v>32</v>
      </c>
    </row>
    <row r="3" spans="1:4" ht="15.75">
      <c r="A3" s="30" t="str">
        <f>B3&amp;"-"&amp;Repor!C3</f>
        <v>Conservador-PAPEL</v>
      </c>
      <c r="B3" s="28" t="s">
        <v>19</v>
      </c>
      <c r="C3" s="28" t="s">
        <v>24</v>
      </c>
      <c r="D3" s="26">
        <v>0.3</v>
      </c>
    </row>
    <row r="4" spans="1:4" ht="15.75">
      <c r="A4" s="30" t="str">
        <f>B4&amp;"-"&amp;Repor!C4</f>
        <v>Conservador-TIJOLO</v>
      </c>
      <c r="B4" s="28" t="s">
        <v>19</v>
      </c>
      <c r="C4" s="28" t="s">
        <v>25</v>
      </c>
      <c r="D4" s="26">
        <v>0.5</v>
      </c>
    </row>
    <row r="5" spans="1:4" ht="15.75">
      <c r="A5" s="30" t="str">
        <f>B5&amp;"-"&amp;Repor!C5</f>
        <v>Conservador-HIBRIDOS</v>
      </c>
      <c r="B5" s="28" t="s">
        <v>19</v>
      </c>
      <c r="C5" s="28" t="s">
        <v>26</v>
      </c>
      <c r="D5" s="26">
        <v>0.1</v>
      </c>
    </row>
    <row r="6" spans="1:4" ht="15.75">
      <c r="A6" s="30" t="str">
        <f>B6&amp;"-"&amp;Repor!C6</f>
        <v>Conservador-FOFs</v>
      </c>
      <c r="B6" s="28" t="s">
        <v>19</v>
      </c>
      <c r="C6" s="28" t="s">
        <v>27</v>
      </c>
      <c r="D6" s="26">
        <v>0.1</v>
      </c>
    </row>
    <row r="7" spans="1:4" ht="15.75">
      <c r="A7" s="30" t="str">
        <f>B7&amp;"-"&amp;Repor!C7</f>
        <v>Conservador-DESENVOLVIMENTO</v>
      </c>
      <c r="B7" s="28" t="s">
        <v>19</v>
      </c>
      <c r="C7" s="28" t="s">
        <v>28</v>
      </c>
      <c r="D7" s="26">
        <v>0</v>
      </c>
    </row>
    <row r="8" spans="1:4" ht="15.75">
      <c r="A8" s="31" t="str">
        <f>B8&amp;"-"&amp;Repor!C8</f>
        <v>Conservador-HOTELARIAS</v>
      </c>
      <c r="B8" s="29" t="s">
        <v>19</v>
      </c>
      <c r="C8" s="29" t="s">
        <v>29</v>
      </c>
      <c r="D8" s="27">
        <v>0</v>
      </c>
    </row>
    <row r="9" spans="1:4" ht="15.75">
      <c r="A9" s="30" t="str">
        <f>B9&amp;"-"&amp;Repor!C9</f>
        <v>Moderado-PAPEL</v>
      </c>
      <c r="B9" s="28" t="s">
        <v>33</v>
      </c>
      <c r="C9" s="28" t="s">
        <v>24</v>
      </c>
      <c r="D9" s="26">
        <v>0.32</v>
      </c>
    </row>
    <row r="10" spans="1:4" ht="15.75">
      <c r="A10" s="30" t="str">
        <f>B10&amp;"-"&amp;Repor!C10</f>
        <v>Moderado-TIJOLO</v>
      </c>
      <c r="B10" s="28" t="s">
        <v>33</v>
      </c>
      <c r="C10" s="28" t="s">
        <v>25</v>
      </c>
      <c r="D10" s="26">
        <v>0.35</v>
      </c>
    </row>
    <row r="11" spans="1:4" ht="15.75">
      <c r="A11" s="30" t="str">
        <f>B11&amp;"-"&amp;Repor!C11</f>
        <v>Moderado-HIBRIDOS</v>
      </c>
      <c r="B11" s="28" t="s">
        <v>33</v>
      </c>
      <c r="C11" s="28" t="s">
        <v>26</v>
      </c>
      <c r="D11" s="26">
        <v>0.08</v>
      </c>
    </row>
    <row r="12" spans="1:4" ht="15.75">
      <c r="A12" s="30" t="str">
        <f>B12&amp;"-"&amp;Repor!C12</f>
        <v>Moderado-FOFs</v>
      </c>
      <c r="B12" s="28" t="s">
        <v>33</v>
      </c>
      <c r="C12" s="28" t="s">
        <v>27</v>
      </c>
      <c r="D12" s="26">
        <v>0.05</v>
      </c>
    </row>
    <row r="13" spans="1:4" ht="15.75">
      <c r="A13" s="30" t="str">
        <f>B13&amp;"-"&amp;Repor!C13</f>
        <v>Moderado-DESENVOLVIMENTO</v>
      </c>
      <c r="B13" s="28" t="s">
        <v>33</v>
      </c>
      <c r="C13" s="28" t="s">
        <v>28</v>
      </c>
      <c r="D13" s="26">
        <v>0.1</v>
      </c>
    </row>
    <row r="14" spans="1:4" ht="15.75">
      <c r="A14" s="31" t="str">
        <f>B14&amp;"-"&amp;Repor!C14</f>
        <v>Moderado-HOTELARIAS</v>
      </c>
      <c r="B14" s="29" t="s">
        <v>33</v>
      </c>
      <c r="C14" s="29" t="s">
        <v>29</v>
      </c>
      <c r="D14" s="27">
        <v>0.1</v>
      </c>
    </row>
    <row r="15" spans="1:4" ht="15.75">
      <c r="A15" s="30" t="str">
        <f>B15&amp;"-"&amp;Repor!C15</f>
        <v>Agressivo-PAPEL</v>
      </c>
      <c r="B15" s="28" t="s">
        <v>34</v>
      </c>
      <c r="C15" s="28" t="s">
        <v>24</v>
      </c>
      <c r="D15" s="26">
        <v>0.5</v>
      </c>
    </row>
    <row r="16" spans="1:4" ht="15.75">
      <c r="A16" s="30" t="str">
        <f>B16&amp;"-"&amp;Repor!C16</f>
        <v>Agressivo-TIJOLO</v>
      </c>
      <c r="B16" s="28" t="s">
        <v>34</v>
      </c>
      <c r="C16" s="28" t="s">
        <v>25</v>
      </c>
      <c r="D16" s="26">
        <v>0.1</v>
      </c>
    </row>
    <row r="17" spans="1:4" ht="15.75">
      <c r="A17" s="30" t="str">
        <f>B17&amp;"-"&amp;Repor!C17</f>
        <v>Agressivo-HIBRIDOS</v>
      </c>
      <c r="B17" s="28" t="s">
        <v>34</v>
      </c>
      <c r="C17" s="28" t="s">
        <v>26</v>
      </c>
      <c r="D17" s="26">
        <v>0.05</v>
      </c>
    </row>
    <row r="18" spans="1:4" ht="15.75">
      <c r="A18" s="30" t="str">
        <f>B18&amp;"-"&amp;Repor!C18</f>
        <v>Agressivo-FOFs</v>
      </c>
      <c r="B18" s="28" t="s">
        <v>34</v>
      </c>
      <c r="C18" s="28" t="s">
        <v>27</v>
      </c>
      <c r="D18" s="26">
        <v>0.05</v>
      </c>
    </row>
    <row r="19" spans="1:4" ht="15.75">
      <c r="A19" s="30" t="str">
        <f>B19&amp;"-"&amp;Repor!C19</f>
        <v>Agressivo-DESENVOLVIMENTO</v>
      </c>
      <c r="B19" s="28" t="s">
        <v>34</v>
      </c>
      <c r="C19" s="28" t="s">
        <v>28</v>
      </c>
      <c r="D19" s="26">
        <v>0.2</v>
      </c>
    </row>
    <row r="20" spans="1:4" ht="15.75">
      <c r="A20" s="31" t="str">
        <f>B20&amp;"-"&amp;Repor!C20</f>
        <v>Agressivo-HOTELARIAS</v>
      </c>
      <c r="B20" s="29" t="s">
        <v>34</v>
      </c>
      <c r="C20" s="29" t="s">
        <v>29</v>
      </c>
      <c r="D20" s="27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2026-09-18T17:11:33Z</dcterms:created>
  <dcterms:modified xsi:type="dcterms:W3CDTF">2026-09-18T19:36:00Z</dcterms:modified>
  <cp:category/>
  <cp:contentStatus/>
</cp:coreProperties>
</file>